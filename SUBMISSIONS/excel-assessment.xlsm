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8800" windowHeight="1221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<sst xmlns="http://schemas.openxmlformats.org/spreadsheetml/2006/main" count="410" uniqueCount="186">
  <si>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</si>
  <si>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</si>
  <si>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</si>
  <si>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</si>
  <si>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</si>
  <si>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</si>
  <si>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</si>
  <si>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</si>
  <si>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</si>
  <si>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</si>
  <si>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</si>
  <si>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</si>
  <si>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</si>
  <si>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</si>
  <si>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</si>
  <si>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</si>
  <si>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</si>
  <si>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</si>
  <si>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</si>
  <si>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</si>
  <si>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</si>
  <si>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</si>
  <si>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</si>
  <si>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</si>
  <si>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</si>
  <si>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</si>
  <si>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</si>
  <si>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</si>
  <si>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</si>
  <si>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</si>
  <si>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</si>
  <si>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</si>
  <si>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</si>
  <si>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</si>
  <si>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</si>
  <si>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</si>
  <si>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</si>
  <si>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</si>
  <si>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</si>
  <si>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</si>
  <si>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</si>
  <si>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</si>
  <si>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</si>
  <si>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</si>
  <si>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</si>
  <si>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</si>
  <si>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</si>
  <si>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</si>
  <si>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</si>
  <si>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</si>
  <si>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</si>
  <si>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</si>
  <si>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</si>
  <si>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</si>
  <si>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</si>
  <si>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</si>
  <si>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</si>
  <si>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</si>
  <si>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</si>
  <si>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</si>
  <si>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</si>
  <si>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</si>
  <si>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</si>
  <si>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</si>
  <si>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</si>
  <si>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</si>
  <si>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</si>
  <si>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</si>
  <si>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</si>
  <si>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</si>
  <si>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</si>
  <si>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</si>
  <si>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</si>
  <si>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</si>
  <si>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</si>
  <si>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</si>
  <si>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</si>
  <si>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</si>
  <si>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</si>
  <si>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</t>
  </si>
  <si>
    <t>FORMULA</t>
  </si>
  <si>
    <t>SUMIFS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</si>
  <si>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</si>
  <si>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</si>
  <si>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</si>
  <si>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</si>
  <si>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</si>
  <si>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</si>
  <si>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</si>
  <si>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</si>
  <si>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</si>
  <si>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</si>
  <si>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</si>
  <si>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</si>
  <si>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</si>
  <si>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</si>
  <si>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</si>
  <si>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</si>
  <si>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</si>
  <si>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</si>
  <si>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</si>
  <si>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 TO COLUMN</t>
  </si>
  <si>
    <t>Explanation:</t>
  </si>
  <si>
    <t>To split values in Table_A into distinct cells, I've used Excel's "Text to Columns" feature. Select the column, choose "Delimited," specify the delimiter (e.g., "-"), and set the destination. This function separates values based on the chosen delimiter, organizing them into separate columns for easy analysis.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</si>
  <si>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</si>
  <si>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</si>
  <si>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</si>
  <si>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</si>
  <si>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</si>
  <si>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</si>
  <si>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</si>
  <si>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</si>
  <si>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</si>
  <si>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</si>
  <si>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</si>
  <si>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</si>
  <si>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</si>
  <si>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</si>
  <si>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</si>
  <si>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</si>
  <si>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</si>
  <si>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</si>
  <si>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</si>
  <si>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</si>
  <si>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</si>
  <si>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</si>
  <si>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</si>
  <si>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</si>
  <si>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</si>
  <si>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</si>
  <si>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</si>
  <si>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</si>
  <si>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</si>
  <si>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</si>
  <si>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</si>
  <si>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</si>
  <si>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</si>
  <si>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</si>
  <si>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</si>
  <si>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</si>
  <si>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</si>
  <si>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</si>
  <si>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</si>
  <si>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</si>
  <si>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</si>
  <si>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</si>
  <si>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</si>
  <si>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</si>
  <si>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</si>
  <si>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</si>
  <si>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</si>
  <si>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</si>
  <si>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</si>
  <si>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SUM(IFERROR())</t>
  </si>
  <si>
    <t>The Excel formula `=SUM(IFERROR())` calculates the sum of values in the range. It uses the IFERROR function to substitute any #N/A errors with the value '20'.This ensures a sum with error handling for #N/A values.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</si>
  <si>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</si>
  <si>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</si>
  <si>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</si>
  <si>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</si>
  <si>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</si>
  <si>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</si>
  <si>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</si>
  <si>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</si>
  <si>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</si>
  <si>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</si>
  <si>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</si>
  <si>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</si>
  <si>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</si>
  <si>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</si>
  <si>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</si>
  <si>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VLOOKUP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</si>
  <si>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</si>
  <si>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</si>
  <si>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</si>
  <si>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</si>
  <si>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</si>
  <si>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</si>
  <si>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</si>
  <si>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</si>
  <si>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</si>
  <si>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</si>
  <si>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</si>
  <si>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</si>
  <si>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</si>
  <si>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</si>
  <si>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VALUE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</si>
</sst>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yyyy/mm/dd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6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5" fillId="0" borderId="0" applyFont="0" applyFill="0" applyBorder="0" applyAlignment="0" applyProtection="0">
      <alignment vertical="center"/>
    </xf>
    <xf numFmtId="177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>
      <alignment vertical="center"/>
    </xf>
    <xf numFmtId="179" fontId="15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8" borderId="1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21" applyNumberFormat="0" applyAlignment="0" applyProtection="0">
      <alignment vertical="center"/>
    </xf>
    <xf numFmtId="0" fontId="25" fillId="10" borderId="22" applyNumberFormat="0" applyAlignment="0" applyProtection="0">
      <alignment vertical="center"/>
    </xf>
    <xf numFmtId="0" fontId="26" fillId="10" borderId="21" applyNumberFormat="0" applyAlignment="0" applyProtection="0">
      <alignment vertical="center"/>
    </xf>
    <xf numFmtId="0" fontId="27" fillId="11" borderId="23" applyNumberFormat="0" applyAlignment="0" applyProtection="0">
      <alignment vertical="center"/>
    </xf>
    <xf numFmtId="0" fontId="28" fillId="0" borderId="24" applyNumberFormat="0" applyFill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0" borderId="0"/>
    <xf numFmtId="0" fontId="15" fillId="0" borderId="0"/>
    <xf numFmtId="0" fontId="36" fillId="0" borderId="0">
      <alignment vertical="top" wrapText="1"/>
    </xf>
  </cellStyleXfs>
  <cellXfs count="66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1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1" fillId="0" borderId="4" xfId="0" applyFont="1" applyBorder="1" applyAlignment="1">
      <alignment wrapText="1"/>
    </xf>
    <xf numFmtId="0" fontId="1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1" fillId="0" borderId="7" xfId="0" applyFont="1" applyBorder="1" applyAlignment="1">
      <alignment wrapText="1"/>
    </xf>
    <xf numFmtId="0" fontId="1" fillId="0" borderId="8" xfId="0" applyFont="1" applyBorder="1"/>
    <xf numFmtId="0" fontId="6" fillId="0" borderId="1" xfId="0" applyFont="1" applyBorder="1"/>
    <xf numFmtId="0" fontId="9" fillId="0" borderId="0" xfId="0" applyFont="1"/>
    <xf numFmtId="0" fontId="10" fillId="3" borderId="9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3" fillId="3" borderId="10" xfId="0" applyFont="1" applyFill="1" applyBorder="1" applyAlignment="1">
      <alignment horizontal="left" vertical="center"/>
    </xf>
    <xf numFmtId="0" fontId="3" fillId="3" borderId="11" xfId="0" applyFont="1" applyFill="1" applyBorder="1" applyAlignment="1">
      <alignment horizontal="left" vertical="center"/>
    </xf>
    <xf numFmtId="180" fontId="4" fillId="0" borderId="1" xfId="0" applyNumberFormat="1" applyFont="1" applyBorder="1"/>
    <xf numFmtId="0" fontId="1" fillId="0" borderId="1" xfId="0" applyFont="1" applyBorder="1" applyAlignment="1">
      <alignment wrapText="1"/>
    </xf>
    <xf numFmtId="0" fontId="3" fillId="3" borderId="12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4" fillId="0" borderId="8" xfId="0" applyFont="1" applyBorder="1"/>
    <xf numFmtId="0" fontId="4" fillId="0" borderId="13" xfId="0" applyFont="1" applyBorder="1"/>
    <xf numFmtId="0" fontId="4" fillId="0" borderId="14" xfId="0" applyFont="1" applyBorder="1"/>
    <xf numFmtId="0" fontId="9" fillId="3" borderId="12" xfId="0" applyFont="1" applyFill="1" applyBorder="1" applyAlignment="1">
      <alignment horizontal="left" vertical="center"/>
    </xf>
    <xf numFmtId="0" fontId="6" fillId="0" borderId="2" xfId="0" applyFont="1" applyBorder="1"/>
    <xf numFmtId="0" fontId="6" fillId="4" borderId="1" xfId="0" applyFont="1" applyFill="1" applyBorder="1"/>
    <xf numFmtId="0" fontId="6" fillId="5" borderId="1" xfId="0" applyFont="1" applyFill="1" applyBorder="1"/>
    <xf numFmtId="0" fontId="6" fillId="4" borderId="15" xfId="0" applyFont="1" applyFill="1" applyBorder="1"/>
    <xf numFmtId="0" fontId="4" fillId="0" borderId="4" xfId="0" applyFont="1" applyBorder="1" applyAlignment="1">
      <alignment wrapText="1"/>
    </xf>
    <xf numFmtId="0" fontId="4" fillId="0" borderId="5" xfId="0" applyFont="1" applyBorder="1"/>
    <xf numFmtId="0" fontId="4" fillId="6" borderId="1" xfId="0" applyFont="1" applyFill="1" applyBorder="1"/>
    <xf numFmtId="0" fontId="11" fillId="2" borderId="0" xfId="0" applyFont="1" applyFill="1"/>
    <xf numFmtId="0" fontId="12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181" fontId="4" fillId="0" borderId="0" xfId="0" applyNumberFormat="1" applyFont="1"/>
    <xf numFmtId="182" fontId="4" fillId="0" borderId="0" xfId="0" applyNumberFormat="1" applyFont="1"/>
    <xf numFmtId="0" fontId="13" fillId="0" borderId="0" xfId="0" applyFont="1"/>
    <xf numFmtId="181" fontId="13" fillId="0" borderId="0" xfId="0" applyNumberFormat="1" applyFont="1"/>
    <xf numFmtId="0" fontId="6" fillId="4" borderId="0" xfId="0" applyFont="1" applyFill="1"/>
    <xf numFmtId="0" fontId="4" fillId="3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6" fillId="5" borderId="0" xfId="0" applyFont="1" applyFill="1"/>
    <xf numFmtId="182" fontId="6" fillId="3" borderId="0" xfId="0" applyNumberFormat="1" applyFont="1" applyFill="1"/>
    <xf numFmtId="0" fontId="5" fillId="0" borderId="1" xfId="0" applyFont="1" applyBorder="1"/>
    <xf numFmtId="0" fontId="8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52D7A750-BE16-40EB-9A3E-39B4204F8A13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zoomScale="190" zoomScaleNormal="190" workbookViewId="0">
      <selection activeCell="M9" sqref="M9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61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62" t="s">
        <v>6</v>
      </c>
      <c r="B9" s="9" t="s">
        <v>7</v>
      </c>
    </row>
    <row r="10" spans="1:2">
      <c r="A10" s="63" t="s">
        <v>8</v>
      </c>
      <c r="B10" s="64">
        <v>25</v>
      </c>
    </row>
    <row r="11" spans="1:2">
      <c r="A11" s="63" t="s">
        <v>9</v>
      </c>
      <c r="B11" s="64">
        <v>30</v>
      </c>
    </row>
    <row r="12" spans="1:2">
      <c r="A12" s="63" t="s">
        <v>10</v>
      </c>
      <c r="B12" s="64">
        <v>10</v>
      </c>
    </row>
    <row r="13" spans="1:2">
      <c r="A13" s="63" t="s">
        <v>11</v>
      </c>
      <c r="B13" s="64">
        <v>20</v>
      </c>
    </row>
    <row r="14" spans="1:2">
      <c r="A14" s="63" t="s">
        <v>12</v>
      </c>
      <c r="B14" s="64">
        <v>40</v>
      </c>
    </row>
    <row r="15" spans="1:2">
      <c r="A15" s="65" t="s">
        <v>13</v>
      </c>
      <c r="B15" s="10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2"/>
  <sheetViews>
    <sheetView workbookViewId="0">
      <pane ySplit="1" topLeftCell="A2" activePane="bottomLeft" state="frozen"/>
      <selection/>
      <selection pane="bottomLeft" activeCell="X1" sqref="X1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50" customWidth="1"/>
    <col min="5" max="5" width="9.2" style="4" customWidth="1"/>
    <col min="6" max="6" width="10.4" style="50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51" customWidth="1"/>
    <col min="25" max="16384" width="9" style="4"/>
  </cols>
  <sheetData>
    <row r="1" s="7" customFormat="1" ht="14.75" customHeight="1" spans="1:24">
      <c r="A1" s="52" t="s">
        <v>14</v>
      </c>
      <c r="B1" s="52" t="s">
        <v>15</v>
      </c>
      <c r="C1" s="52" t="s">
        <v>16</v>
      </c>
      <c r="D1" s="53" t="s">
        <v>17</v>
      </c>
      <c r="E1" s="52" t="s">
        <v>18</v>
      </c>
      <c r="F1" s="53" t="s">
        <v>19</v>
      </c>
      <c r="G1" s="54" t="s">
        <v>20</v>
      </c>
      <c r="H1" s="54" t="s">
        <v>21</v>
      </c>
      <c r="I1" s="54" t="s">
        <v>22</v>
      </c>
      <c r="J1" s="59" t="s">
        <v>23</v>
      </c>
      <c r="K1" s="59" t="s">
        <v>24</v>
      </c>
      <c r="L1" s="59" t="s">
        <v>25</v>
      </c>
      <c r="M1" s="54" t="s">
        <v>26</v>
      </c>
      <c r="N1" s="54" t="s">
        <v>27</v>
      </c>
      <c r="O1" s="54" t="s">
        <v>28</v>
      </c>
      <c r="P1" s="59" t="s">
        <v>29</v>
      </c>
      <c r="Q1" s="59" t="s">
        <v>30</v>
      </c>
      <c r="R1" s="59" t="s">
        <v>31</v>
      </c>
      <c r="S1" s="54" t="s">
        <v>32</v>
      </c>
      <c r="T1" s="54" t="s">
        <v>33</v>
      </c>
      <c r="U1" s="59" t="s">
        <v>34</v>
      </c>
      <c r="V1" s="59" t="s">
        <v>35</v>
      </c>
      <c r="W1" s="59" t="s">
        <v>36</v>
      </c>
      <c r="X1" s="60" t="s">
        <v>37</v>
      </c>
    </row>
    <row r="2" spans="1:24">
      <c r="A2" s="4" t="s">
        <v>38</v>
      </c>
      <c r="B2" s="4">
        <v>20000</v>
      </c>
      <c r="C2" s="4" t="s">
        <v>39</v>
      </c>
      <c r="D2" s="50">
        <v>0</v>
      </c>
      <c r="E2" s="4" t="s">
        <v>40</v>
      </c>
      <c r="F2" s="50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51">
        <v>45051</v>
      </c>
    </row>
    <row r="3" spans="1:24">
      <c r="A3" s="4" t="s">
        <v>41</v>
      </c>
      <c r="B3" s="4">
        <v>20002</v>
      </c>
      <c r="C3" s="4" t="s">
        <v>39</v>
      </c>
      <c r="D3" s="50">
        <v>0</v>
      </c>
      <c r="E3" s="4" t="s">
        <v>40</v>
      </c>
      <c r="F3" s="50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51">
        <v>45048</v>
      </c>
    </row>
    <row r="4" spans="1:24">
      <c r="A4" s="4" t="s">
        <v>42</v>
      </c>
      <c r="B4" s="4">
        <v>20004</v>
      </c>
      <c r="C4" s="4" t="s">
        <v>39</v>
      </c>
      <c r="D4" s="50">
        <v>0</v>
      </c>
      <c r="E4" s="4" t="s">
        <v>40</v>
      </c>
      <c r="F4" s="50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51">
        <v>45055</v>
      </c>
    </row>
    <row r="5" spans="1:24">
      <c r="A5" s="4" t="s">
        <v>43</v>
      </c>
      <c r="B5" s="4">
        <v>20006</v>
      </c>
      <c r="C5" s="4" t="s">
        <v>39</v>
      </c>
      <c r="D5" s="50">
        <v>0</v>
      </c>
      <c r="E5" s="4" t="s">
        <v>40</v>
      </c>
      <c r="F5" s="50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51">
        <v>45059</v>
      </c>
    </row>
    <row r="6" spans="1:24">
      <c r="A6" s="4" t="s">
        <v>44</v>
      </c>
      <c r="B6" s="4">
        <v>20008</v>
      </c>
      <c r="C6" s="4" t="s">
        <v>39</v>
      </c>
      <c r="D6" s="50">
        <v>0</v>
      </c>
      <c r="E6" s="4" t="s">
        <v>40</v>
      </c>
      <c r="F6" s="50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51">
        <v>45076</v>
      </c>
    </row>
    <row r="7" spans="1:24">
      <c r="A7" s="4" t="s">
        <v>45</v>
      </c>
      <c r="B7" s="4">
        <v>20010</v>
      </c>
      <c r="C7" s="4" t="s">
        <v>39</v>
      </c>
      <c r="D7" s="50">
        <v>0</v>
      </c>
      <c r="E7" s="4" t="s">
        <v>40</v>
      </c>
      <c r="F7" s="50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51">
        <v>45057</v>
      </c>
    </row>
    <row r="8" spans="1:24">
      <c r="A8" s="4" t="s">
        <v>46</v>
      </c>
      <c r="B8" s="4">
        <v>20012</v>
      </c>
      <c r="C8" s="4" t="s">
        <v>39</v>
      </c>
      <c r="D8" s="50">
        <v>0</v>
      </c>
      <c r="E8" s="4" t="s">
        <v>40</v>
      </c>
      <c r="F8" s="50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51">
        <v>45052</v>
      </c>
    </row>
    <row r="9" spans="1:24">
      <c r="A9" s="4" t="s">
        <v>47</v>
      </c>
      <c r="B9" s="4">
        <v>20014</v>
      </c>
      <c r="C9" s="4" t="s">
        <v>39</v>
      </c>
      <c r="D9" s="50">
        <v>0</v>
      </c>
      <c r="E9" s="4" t="s">
        <v>40</v>
      </c>
      <c r="F9" s="50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51">
        <v>45098</v>
      </c>
    </row>
    <row r="10" spans="1:24">
      <c r="A10" s="4" t="s">
        <v>48</v>
      </c>
      <c r="B10" s="4">
        <v>20016</v>
      </c>
      <c r="C10" s="4" t="s">
        <v>39</v>
      </c>
      <c r="D10" s="50">
        <v>0</v>
      </c>
      <c r="E10" s="4" t="s">
        <v>40</v>
      </c>
      <c r="F10" s="50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51">
        <v>45092</v>
      </c>
    </row>
    <row r="11" spans="1:24">
      <c r="A11" s="4" t="s">
        <v>49</v>
      </c>
      <c r="B11" s="4">
        <v>20018</v>
      </c>
      <c r="C11" s="4" t="s">
        <v>39</v>
      </c>
      <c r="D11" s="50">
        <v>0</v>
      </c>
      <c r="E11" s="4" t="s">
        <v>40</v>
      </c>
      <c r="F11" s="50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51">
        <v>45104</v>
      </c>
    </row>
    <row r="12" spans="1:24">
      <c r="A12" s="4" t="s">
        <v>50</v>
      </c>
      <c r="B12" s="4">
        <v>20020</v>
      </c>
      <c r="C12" s="4" t="s">
        <v>39</v>
      </c>
      <c r="D12" s="50">
        <v>0</v>
      </c>
      <c r="E12" s="4" t="s">
        <v>40</v>
      </c>
      <c r="F12" s="50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51">
        <v>45116</v>
      </c>
    </row>
    <row r="13" spans="1:24">
      <c r="A13" s="4" t="s">
        <v>51</v>
      </c>
      <c r="B13" s="4">
        <v>20022</v>
      </c>
      <c r="C13" s="4" t="s">
        <v>39</v>
      </c>
      <c r="D13" s="50">
        <v>0</v>
      </c>
      <c r="E13" s="4" t="s">
        <v>40</v>
      </c>
      <c r="F13" s="50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51">
        <v>45110</v>
      </c>
    </row>
    <row r="14" spans="1:24">
      <c r="A14" s="4" t="s">
        <v>52</v>
      </c>
      <c r="B14" s="4">
        <v>20024</v>
      </c>
      <c r="C14" s="4" t="s">
        <v>39</v>
      </c>
      <c r="D14" s="50">
        <v>0</v>
      </c>
      <c r="E14" s="4" t="s">
        <v>40</v>
      </c>
      <c r="F14" s="50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51">
        <v>45095</v>
      </c>
    </row>
    <row r="15" spans="1:24">
      <c r="A15" s="4" t="s">
        <v>53</v>
      </c>
      <c r="B15" s="4">
        <v>20026</v>
      </c>
      <c r="C15" s="4" t="s">
        <v>39</v>
      </c>
      <c r="D15" s="50">
        <v>0</v>
      </c>
      <c r="E15" s="4" t="s">
        <v>40</v>
      </c>
      <c r="F15" s="50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51">
        <v>45113</v>
      </c>
    </row>
    <row r="16" spans="1:24">
      <c r="A16" s="4" t="s">
        <v>54</v>
      </c>
      <c r="B16" s="4">
        <v>20028</v>
      </c>
      <c r="C16" s="4" t="s">
        <v>39</v>
      </c>
      <c r="D16" s="50">
        <v>0</v>
      </c>
      <c r="E16" s="4" t="s">
        <v>40</v>
      </c>
      <c r="F16" s="50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51">
        <v>45063</v>
      </c>
    </row>
    <row r="17" spans="1:24">
      <c r="A17" s="4" t="s">
        <v>55</v>
      </c>
      <c r="B17" s="4">
        <v>20030</v>
      </c>
      <c r="C17" s="4" t="s">
        <v>39</v>
      </c>
      <c r="D17" s="50">
        <v>0</v>
      </c>
      <c r="E17" s="4" t="s">
        <v>40</v>
      </c>
      <c r="F17" s="50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51">
        <v>45071</v>
      </c>
    </row>
    <row r="18" spans="1:24">
      <c r="A18" s="4" t="s">
        <v>56</v>
      </c>
      <c r="B18" s="4">
        <v>20032</v>
      </c>
      <c r="C18" s="4" t="s">
        <v>39</v>
      </c>
      <c r="D18" s="50">
        <v>0</v>
      </c>
      <c r="E18" s="4" t="s">
        <v>40</v>
      </c>
      <c r="F18" s="50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51">
        <v>45085</v>
      </c>
    </row>
    <row r="19" spans="1:24">
      <c r="A19" s="4" t="s">
        <v>57</v>
      </c>
      <c r="B19" s="4">
        <v>20034</v>
      </c>
      <c r="C19" s="4" t="s">
        <v>39</v>
      </c>
      <c r="D19" s="50">
        <v>0</v>
      </c>
      <c r="E19" s="4" t="s">
        <v>40</v>
      </c>
      <c r="F19" s="50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51">
        <v>45099</v>
      </c>
    </row>
    <row r="20" spans="1:24">
      <c r="A20" s="4" t="s">
        <v>58</v>
      </c>
      <c r="B20" s="4">
        <v>20036</v>
      </c>
      <c r="C20" s="4" t="s">
        <v>39</v>
      </c>
      <c r="D20" s="50">
        <v>0</v>
      </c>
      <c r="E20" s="4" t="s">
        <v>40</v>
      </c>
      <c r="F20" s="50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51">
        <v>45091</v>
      </c>
    </row>
    <row r="21" spans="1:24">
      <c r="A21" s="4" t="s">
        <v>59</v>
      </c>
      <c r="B21" s="4">
        <v>20038</v>
      </c>
      <c r="C21" s="4" t="s">
        <v>39</v>
      </c>
      <c r="D21" s="50">
        <v>0</v>
      </c>
      <c r="E21" s="4" t="s">
        <v>40</v>
      </c>
      <c r="F21" s="50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51">
        <v>45079</v>
      </c>
    </row>
    <row r="22" spans="1:24">
      <c r="A22" s="4" t="s">
        <v>60</v>
      </c>
      <c r="B22" s="4">
        <v>20040</v>
      </c>
      <c r="C22" s="4" t="s">
        <v>39</v>
      </c>
      <c r="D22" s="50">
        <v>0</v>
      </c>
      <c r="E22" s="4" t="s">
        <v>40</v>
      </c>
      <c r="F22" s="50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51">
        <v>45075</v>
      </c>
    </row>
    <row r="23" spans="1:24">
      <c r="A23" s="4" t="s">
        <v>61</v>
      </c>
      <c r="B23" s="4">
        <v>20042</v>
      </c>
      <c r="C23" s="4" t="s">
        <v>39</v>
      </c>
      <c r="D23" s="50">
        <v>0</v>
      </c>
      <c r="E23" s="4" t="s">
        <v>40</v>
      </c>
      <c r="F23" s="50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51">
        <v>45110</v>
      </c>
    </row>
    <row r="24" spans="1:24">
      <c r="A24" s="4" t="s">
        <v>62</v>
      </c>
      <c r="B24" s="4">
        <v>20044</v>
      </c>
      <c r="C24" s="4" t="s">
        <v>39</v>
      </c>
      <c r="D24" s="50">
        <v>0</v>
      </c>
      <c r="E24" s="4" t="s">
        <v>40</v>
      </c>
      <c r="F24" s="50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51">
        <v>45114</v>
      </c>
    </row>
    <row r="25" spans="1:24">
      <c r="A25" s="4" t="s">
        <v>63</v>
      </c>
      <c r="B25" s="4">
        <v>20046</v>
      </c>
      <c r="C25" s="4" t="s">
        <v>39</v>
      </c>
      <c r="D25" s="50">
        <v>0</v>
      </c>
      <c r="E25" s="4" t="s">
        <v>40</v>
      </c>
      <c r="F25" s="50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51">
        <v>45118</v>
      </c>
    </row>
    <row r="26" spans="1:24">
      <c r="A26" s="4" t="s">
        <v>64</v>
      </c>
      <c r="B26" s="4">
        <v>20048</v>
      </c>
      <c r="C26" s="4" t="s">
        <v>39</v>
      </c>
      <c r="D26" s="50">
        <v>0</v>
      </c>
      <c r="E26" s="4" t="s">
        <v>40</v>
      </c>
      <c r="F26" s="50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51">
        <v>45142</v>
      </c>
    </row>
    <row r="27" spans="1:24">
      <c r="A27" s="4" t="s">
        <v>65</v>
      </c>
      <c r="B27" s="4">
        <v>20050</v>
      </c>
      <c r="C27" s="4" t="s">
        <v>39</v>
      </c>
      <c r="D27" s="50">
        <v>0</v>
      </c>
      <c r="E27" s="4" t="s">
        <v>40</v>
      </c>
      <c r="F27" s="50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51">
        <v>45146</v>
      </c>
    </row>
    <row r="28" spans="1:24">
      <c r="A28" s="4" t="s">
        <v>66</v>
      </c>
      <c r="B28" s="4">
        <v>20052</v>
      </c>
      <c r="C28" s="4" t="s">
        <v>39</v>
      </c>
      <c r="D28" s="50">
        <v>0</v>
      </c>
      <c r="E28" s="4" t="s">
        <v>40</v>
      </c>
      <c r="F28" s="50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51">
        <v>45108</v>
      </c>
    </row>
    <row r="29" spans="1:24">
      <c r="A29" s="4" t="s">
        <v>67</v>
      </c>
      <c r="B29" s="4">
        <v>20054</v>
      </c>
      <c r="C29" s="4" t="s">
        <v>39</v>
      </c>
      <c r="D29" s="50">
        <v>0</v>
      </c>
      <c r="E29" s="4" t="s">
        <v>40</v>
      </c>
      <c r="F29" s="50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51">
        <v>45153</v>
      </c>
    </row>
    <row r="30" spans="1:24">
      <c r="A30" s="4" t="s">
        <v>68</v>
      </c>
      <c r="B30" s="4">
        <v>20058</v>
      </c>
      <c r="C30" s="4" t="s">
        <v>39</v>
      </c>
      <c r="D30" s="50">
        <v>0</v>
      </c>
      <c r="E30" s="4" t="s">
        <v>40</v>
      </c>
      <c r="F30" s="50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51">
        <v>45150</v>
      </c>
    </row>
    <row r="31" spans="1:24">
      <c r="A31" s="4" t="s">
        <v>69</v>
      </c>
      <c r="B31" s="4">
        <v>20060</v>
      </c>
      <c r="C31" s="4" t="s">
        <v>39</v>
      </c>
      <c r="D31" s="50">
        <v>0</v>
      </c>
      <c r="E31" s="4" t="s">
        <v>40</v>
      </c>
      <c r="F31" s="50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51">
        <v>45157</v>
      </c>
    </row>
    <row r="32" spans="1:24">
      <c r="A32" s="4" t="s">
        <v>70</v>
      </c>
      <c r="B32" s="4">
        <v>21000</v>
      </c>
      <c r="C32" s="4" t="s">
        <v>39</v>
      </c>
      <c r="D32" s="50">
        <v>0</v>
      </c>
      <c r="E32" s="4" t="s">
        <v>40</v>
      </c>
      <c r="F32" s="50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51">
        <v>45143</v>
      </c>
    </row>
    <row r="33" spans="1:24">
      <c r="A33" s="4" t="s">
        <v>71</v>
      </c>
      <c r="B33" s="4">
        <v>21002</v>
      </c>
      <c r="C33" s="4" t="s">
        <v>39</v>
      </c>
      <c r="D33" s="50">
        <v>0</v>
      </c>
      <c r="E33" s="4" t="s">
        <v>40</v>
      </c>
      <c r="F33" s="50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51">
        <v>45166</v>
      </c>
    </row>
    <row r="34" spans="1:24">
      <c r="A34" s="4" t="s">
        <v>72</v>
      </c>
      <c r="B34" s="4">
        <v>21004</v>
      </c>
      <c r="C34" s="4" t="s">
        <v>39</v>
      </c>
      <c r="D34" s="50">
        <v>0</v>
      </c>
      <c r="E34" s="4" t="s">
        <v>40</v>
      </c>
      <c r="F34" s="50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51">
        <v>45162</v>
      </c>
    </row>
    <row r="35" spans="1:24">
      <c r="A35" s="4" t="s">
        <v>73</v>
      </c>
      <c r="B35" s="4">
        <v>21006</v>
      </c>
      <c r="C35" s="4" t="s">
        <v>39</v>
      </c>
      <c r="D35" s="50">
        <v>0</v>
      </c>
      <c r="E35" s="4" t="s">
        <v>40</v>
      </c>
      <c r="F35" s="50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51">
        <v>45160</v>
      </c>
    </row>
    <row r="36" spans="1:24">
      <c r="A36" s="4" t="s">
        <v>74</v>
      </c>
      <c r="B36" s="4">
        <v>21008</v>
      </c>
      <c r="C36" s="4" t="s">
        <v>39</v>
      </c>
      <c r="D36" s="50">
        <v>0</v>
      </c>
      <c r="E36" s="4" t="s">
        <v>40</v>
      </c>
      <c r="F36" s="50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51">
        <v>45179</v>
      </c>
    </row>
    <row r="37" spans="1:24">
      <c r="A37" s="4" t="s">
        <v>75</v>
      </c>
      <c r="B37" s="4">
        <v>21010</v>
      </c>
      <c r="C37" s="4" t="s">
        <v>39</v>
      </c>
      <c r="D37" s="50">
        <v>0</v>
      </c>
      <c r="E37" s="4" t="s">
        <v>40</v>
      </c>
      <c r="F37" s="50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51">
        <v>45157</v>
      </c>
    </row>
    <row r="38" spans="1:24">
      <c r="A38" s="4" t="s">
        <v>76</v>
      </c>
      <c r="B38" s="4">
        <v>21012</v>
      </c>
      <c r="C38" s="4" t="s">
        <v>39</v>
      </c>
      <c r="D38" s="50">
        <v>0</v>
      </c>
      <c r="E38" s="4" t="s">
        <v>40</v>
      </c>
      <c r="F38" s="50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51">
        <v>45143</v>
      </c>
    </row>
    <row r="39" spans="1:24">
      <c r="A39" s="4" t="s">
        <v>77</v>
      </c>
      <c r="B39" s="4">
        <v>21014</v>
      </c>
      <c r="C39" s="4" t="s">
        <v>39</v>
      </c>
      <c r="D39" s="50">
        <v>0</v>
      </c>
      <c r="E39" s="4" t="s">
        <v>40</v>
      </c>
      <c r="F39" s="50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51">
        <v>45166</v>
      </c>
    </row>
    <row r="40" ht="15.75" spans="1:24">
      <c r="A40" s="4" t="s">
        <v>78</v>
      </c>
      <c r="B40" s="4">
        <v>21016</v>
      </c>
      <c r="C40" s="4" t="s">
        <v>39</v>
      </c>
      <c r="D40" s="50">
        <v>0</v>
      </c>
      <c r="E40" s="4" t="s">
        <v>40</v>
      </c>
      <c r="F40" s="50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51">
        <v>45162</v>
      </c>
    </row>
    <row r="41" ht="15.75" spans="7:8">
      <c r="G41" s="55" t="s">
        <v>79</v>
      </c>
      <c r="H41" s="56">
        <f>SUMIFS(H2:H40,H2:H40,"&gt;20")</f>
        <v>1473</v>
      </c>
    </row>
    <row r="42" ht="15.75" spans="7:8">
      <c r="G42" s="57" t="s">
        <v>80</v>
      </c>
      <c r="H42" s="58" t="s">
        <v>81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A1:X40">
    <cfRule type="cellIs" dxfId="1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20" sqref="B20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46" t="s">
        <v>82</v>
      </c>
      <c r="B1" s="46" t="s">
        <v>83</v>
      </c>
      <c r="C1" s="46" t="s">
        <v>84</v>
      </c>
      <c r="E1" s="46" t="s">
        <v>85</v>
      </c>
    </row>
    <row r="2" spans="1:3">
      <c r="A2" s="1"/>
      <c r="B2" s="47" t="s">
        <v>86</v>
      </c>
      <c r="C2" s="1"/>
    </row>
    <row r="3" spans="1:5">
      <c r="A3" s="48">
        <v>1</v>
      </c>
      <c r="B3" s="1" t="s">
        <v>87</v>
      </c>
      <c r="C3" s="1" t="s">
        <v>88</v>
      </c>
      <c r="E3" s="4">
        <v>5</v>
      </c>
    </row>
    <row r="4" spans="1:5">
      <c r="A4" s="48">
        <v>2</v>
      </c>
      <c r="B4" s="1" t="s">
        <v>89</v>
      </c>
      <c r="C4" s="1"/>
      <c r="E4" s="4">
        <v>5</v>
      </c>
    </row>
    <row r="5" spans="1:5">
      <c r="A5" s="48">
        <v>3</v>
      </c>
      <c r="B5" s="1" t="s">
        <v>90</v>
      </c>
      <c r="C5" s="49" t="s">
        <v>81</v>
      </c>
      <c r="E5" s="4">
        <v>10</v>
      </c>
    </row>
    <row r="6" spans="1:5">
      <c r="A6" s="48">
        <v>4</v>
      </c>
      <c r="B6" s="1" t="s">
        <v>91</v>
      </c>
      <c r="C6" s="1"/>
      <c r="E6" s="4">
        <v>5</v>
      </c>
    </row>
    <row r="7" ht="12.75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J28" sqref="J28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92</v>
      </c>
    </row>
    <row r="2" s="3" customFormat="1" ht="21" spans="2:2">
      <c r="B2" s="3" t="s">
        <v>93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8" t="s">
        <v>94</v>
      </c>
      <c r="B4" s="4"/>
      <c r="C4" s="4"/>
      <c r="D4" s="4"/>
      <c r="E4" s="4"/>
      <c r="F4" s="4"/>
      <c r="G4" s="4"/>
    </row>
    <row r="5" ht="15" spans="1:6">
      <c r="A5" s="39" t="s">
        <v>14</v>
      </c>
      <c r="B5" s="40" t="s">
        <v>20</v>
      </c>
      <c r="C5" s="41" t="s">
        <v>27</v>
      </c>
      <c r="D5" s="40" t="s">
        <v>31</v>
      </c>
      <c r="E5" s="41" t="s">
        <v>33</v>
      </c>
      <c r="F5" s="42" t="s">
        <v>35</v>
      </c>
    </row>
    <row r="6" ht="15" spans="1:6">
      <c r="A6" s="14" t="s">
        <v>38</v>
      </c>
      <c r="B6" s="43">
        <f>VLOOKUP(A6:A27,Dataset!A:G,7,FALSE)</f>
        <v>2.7</v>
      </c>
      <c r="C6" s="15">
        <f>VLOOKUP(A6:A27,Dataset!A:N,14,FALSE)</f>
        <v>7.6</v>
      </c>
      <c r="D6" s="15">
        <f>VLOOKUP(A6:A27,Dataset!A:R,18,FALSE)</f>
        <v>4.2</v>
      </c>
      <c r="E6" s="15">
        <f>VLOOKUP(A6:A27,Dataset!A:T,20,FALSE)</f>
        <v>8.9</v>
      </c>
      <c r="F6" s="44">
        <f>VLOOKUP(A6:A27,Dataset!A:V,22,FALSE)</f>
        <v>4.2</v>
      </c>
    </row>
    <row r="7" ht="15" spans="1:6">
      <c r="A7" s="14" t="s">
        <v>41</v>
      </c>
      <c r="B7" s="43">
        <f>VLOOKUP(A7:A28,Dataset!A:G,7,FALSE)</f>
        <v>2.7</v>
      </c>
      <c r="C7" s="15">
        <f>VLOOKUP(A7:A28,Dataset!A:N,14,FALSE)</f>
        <v>7.6</v>
      </c>
      <c r="D7" s="15">
        <f>VLOOKUP(A7:A28,Dataset!A:R,18,FALSE)</f>
        <v>4.2</v>
      </c>
      <c r="E7" s="15">
        <f>VLOOKUP(A7:A28,Dataset!A:T,20,FALSE)</f>
        <v>8.9</v>
      </c>
      <c r="F7" s="44">
        <f>VLOOKUP(A7:A28,Dataset!A:V,22,FALSE)</f>
        <v>4.2</v>
      </c>
    </row>
    <row r="8" ht="15" spans="1:6">
      <c r="A8" s="14" t="s">
        <v>42</v>
      </c>
      <c r="B8" s="43">
        <f>VLOOKUP(A8:A29,Dataset!A:G,7,FALSE)</f>
        <v>3.6</v>
      </c>
      <c r="C8" s="15">
        <f>VLOOKUP(A8:A29,Dataset!A:N,14,FALSE)</f>
        <v>11.1</v>
      </c>
      <c r="D8" s="15">
        <f>VLOOKUP(A8:A29,Dataset!A:R,18,FALSE)</f>
        <v>5.8</v>
      </c>
      <c r="E8" s="15">
        <f>VLOOKUP(A8:A29,Dataset!A:T,20,FALSE)</f>
        <v>12.2</v>
      </c>
      <c r="F8" s="44">
        <f>VLOOKUP(A8:A29,Dataset!A:V,22,FALSE)</f>
        <v>5.8</v>
      </c>
    </row>
    <row r="9" ht="15" spans="1:6">
      <c r="A9" s="14" t="s">
        <v>43</v>
      </c>
      <c r="B9" s="43">
        <f>VLOOKUP(A9:A30,Dataset!A:G,7,FALSE)</f>
        <v>4.9</v>
      </c>
      <c r="C9" s="15">
        <f>VLOOKUP(A9:A30,Dataset!A:N,14,FALSE)</f>
        <v>13.3</v>
      </c>
      <c r="D9" s="15">
        <f>VLOOKUP(A9:A30,Dataset!A:R,18,FALSE)</f>
        <v>8.1</v>
      </c>
      <c r="E9" s="15">
        <f>VLOOKUP(A9:A30,Dataset!A:T,20,FALSE)</f>
        <v>17</v>
      </c>
      <c r="F9" s="44">
        <f>VLOOKUP(A9:A30,Dataset!A:V,22,FALSE)</f>
        <v>8.1</v>
      </c>
    </row>
    <row r="10" ht="15" spans="1:6">
      <c r="A10" s="14" t="s">
        <v>46</v>
      </c>
      <c r="B10" s="43">
        <f>VLOOKUP(A10:A31,Dataset!A:G,7,FALSE)</f>
        <v>9.4</v>
      </c>
      <c r="C10" s="15">
        <f>VLOOKUP(A10:A31,Dataset!A:N,14,FALSE)</f>
        <v>28.3</v>
      </c>
      <c r="D10" s="15">
        <f>VLOOKUP(A10:A31,Dataset!A:R,18,FALSE)</f>
        <v>16.1</v>
      </c>
      <c r="E10" s="15">
        <f>VLOOKUP(A10:A31,Dataset!A:T,20,FALSE)</f>
        <v>32.8</v>
      </c>
      <c r="F10" s="44">
        <f>VLOOKUP(A10:A31,Dataset!A:V,22,FALSE)</f>
        <v>16.1</v>
      </c>
    </row>
    <row r="11" ht="15" spans="1:6">
      <c r="A11" s="14" t="s">
        <v>47</v>
      </c>
      <c r="B11" s="43">
        <f>VLOOKUP(A11:A32,Dataset!A:G,7,FALSE)</f>
        <v>11.6</v>
      </c>
      <c r="C11" s="15">
        <f>VLOOKUP(A11:A32,Dataset!A:N,14,FALSE)</f>
        <v>35.2</v>
      </c>
      <c r="D11" s="15">
        <f>VLOOKUP(A11:A32,Dataset!A:R,18,FALSE)</f>
        <v>21.3</v>
      </c>
      <c r="E11" s="15">
        <f>VLOOKUP(A11:A32,Dataset!A:T,20,FALSE)</f>
        <v>43</v>
      </c>
      <c r="F11" s="44">
        <f>VLOOKUP(A11:A32,Dataset!A:V,22,FALSE)</f>
        <v>21.3</v>
      </c>
    </row>
    <row r="12" ht="15" spans="1:6">
      <c r="A12" s="14" t="s">
        <v>49</v>
      </c>
      <c r="B12" s="43">
        <f>VLOOKUP(A12:A33,Dataset!A:G,7,FALSE)</f>
        <v>18.4</v>
      </c>
      <c r="C12" s="15">
        <f>VLOOKUP(A12:A33,Dataset!A:N,14,FALSE)</f>
        <v>55.6</v>
      </c>
      <c r="D12" s="15">
        <f>VLOOKUP(A12:A33,Dataset!A:R,18,FALSE)</f>
        <v>33.8</v>
      </c>
      <c r="E12" s="15">
        <f>VLOOKUP(A12:A33,Dataset!A:T,20,FALSE)</f>
        <v>67.9</v>
      </c>
      <c r="F12" s="44">
        <f>VLOOKUP(A12:A33,Dataset!A:V,22,FALSE)</f>
        <v>33.8</v>
      </c>
    </row>
    <row r="13" ht="15" spans="1:6">
      <c r="A13" s="14" t="s">
        <v>50</v>
      </c>
      <c r="B13" s="43">
        <f>VLOOKUP(A13:A34,Dataset!A:G,7,FALSE)</f>
        <v>0</v>
      </c>
      <c r="C13" s="15">
        <f>VLOOKUP(A13:A34,Dataset!A:N,14,FALSE)</f>
        <v>0</v>
      </c>
      <c r="D13" s="15">
        <f>VLOOKUP(A13:A34,Dataset!A:R,18,FALSE)</f>
        <v>0</v>
      </c>
      <c r="E13" s="15">
        <f>VLOOKUP(A13:A34,Dataset!A:T,20,FALSE)</f>
        <v>0</v>
      </c>
      <c r="F13" s="44">
        <f>VLOOKUP(A13:A34,Dataset!A:V,22,FALSE)</f>
        <v>0</v>
      </c>
    </row>
    <row r="14" ht="15" spans="1:6">
      <c r="A14" s="14" t="s">
        <v>51</v>
      </c>
      <c r="B14" s="43">
        <f>VLOOKUP(A14:A35,Dataset!A:G,7,FALSE)</f>
        <v>21.9</v>
      </c>
      <c r="C14" s="15">
        <f>VLOOKUP(A14:A35,Dataset!A:N,14,FALSE)</f>
        <v>61.5</v>
      </c>
      <c r="D14" s="15">
        <f>VLOOKUP(A14:A35,Dataset!A:R,18,FALSE)</f>
        <v>40.1</v>
      </c>
      <c r="E14" s="15">
        <f>VLOOKUP(A14:A35,Dataset!A:T,20,FALSE)</f>
        <v>76.6</v>
      </c>
      <c r="F14" s="44">
        <f>VLOOKUP(A14:A35,Dataset!A:V,22,FALSE)</f>
        <v>40.1</v>
      </c>
    </row>
    <row r="15" ht="15" spans="1:6">
      <c r="A15" s="14" t="s">
        <v>53</v>
      </c>
      <c r="B15" s="43">
        <f>VLOOKUP(A15:A36,Dataset!A:G,7,FALSE)</f>
        <v>26.8</v>
      </c>
      <c r="C15" s="15">
        <f>VLOOKUP(A15:A36,Dataset!A:N,14,FALSE)</f>
        <v>79.6</v>
      </c>
      <c r="D15" s="15">
        <f>VLOOKUP(A15:A36,Dataset!A:R,18,FALSE)</f>
        <v>47.9</v>
      </c>
      <c r="E15" s="15">
        <f>VLOOKUP(A15:A36,Dataset!A:T,20,FALSE)</f>
        <v>96.8</v>
      </c>
      <c r="F15" s="44">
        <f>VLOOKUP(A15:A36,Dataset!A:V,22,FALSE)</f>
        <v>47.9</v>
      </c>
    </row>
    <row r="16" ht="15" spans="1:6">
      <c r="A16" s="14" t="s">
        <v>55</v>
      </c>
      <c r="B16" s="43">
        <f>VLOOKUP(A16:A37,Dataset!A:G,7,FALSE)</f>
        <v>28.5</v>
      </c>
      <c r="C16" s="15">
        <f>VLOOKUP(A16:A37,Dataset!A:N,14,FALSE)</f>
        <v>85.4</v>
      </c>
      <c r="D16" s="15">
        <f>VLOOKUP(A16:A37,Dataset!A:R,18,FALSE)</f>
        <v>52.3</v>
      </c>
      <c r="E16" s="15">
        <f>VLOOKUP(A16:A37,Dataset!A:T,20,FALSE)</f>
        <v>106.1</v>
      </c>
      <c r="F16" s="44">
        <f>VLOOKUP(A16:A37,Dataset!A:V,22,FALSE)</f>
        <v>52.3</v>
      </c>
    </row>
    <row r="17" ht="15" spans="1:6">
      <c r="A17" s="14" t="s">
        <v>57</v>
      </c>
      <c r="B17" s="43">
        <f>VLOOKUP(A17:A38,Dataset!A:G,7,FALSE)</f>
        <v>30.7</v>
      </c>
      <c r="C17" s="15">
        <f>VLOOKUP(A17:A38,Dataset!A:N,14,FALSE)</f>
        <v>92.1</v>
      </c>
      <c r="D17" s="15">
        <f>VLOOKUP(A17:A38,Dataset!A:R,18,FALSE)</f>
        <v>57</v>
      </c>
      <c r="E17" s="15">
        <f>VLOOKUP(A17:A38,Dataset!A:T,20,FALSE)</f>
        <v>115.1</v>
      </c>
      <c r="F17" s="44">
        <f>VLOOKUP(A17:A38,Dataset!A:V,22,FALSE)</f>
        <v>57</v>
      </c>
    </row>
    <row r="18" ht="15" spans="1:6">
      <c r="A18" s="14" t="s">
        <v>58</v>
      </c>
      <c r="B18" s="43">
        <f>VLOOKUP(A18:A39,Dataset!A:G,7,FALSE)</f>
        <v>33.8</v>
      </c>
      <c r="C18" s="15">
        <f>VLOOKUP(A18:A39,Dataset!A:N,14,FALSE)</f>
        <v>101.3</v>
      </c>
      <c r="D18" s="15">
        <f>VLOOKUP(A18:A39,Dataset!A:R,18,FALSE)</f>
        <v>61.4</v>
      </c>
      <c r="E18" s="15">
        <f>VLOOKUP(A18:A39,Dataset!A:T,20,FALSE)</f>
        <v>124.4</v>
      </c>
      <c r="F18" s="44">
        <f>VLOOKUP(A18:A39,Dataset!A:V,22,FALSE)</f>
        <v>61.4</v>
      </c>
    </row>
    <row r="19" ht="15" spans="1:6">
      <c r="A19" s="14" t="s">
        <v>59</v>
      </c>
      <c r="B19" s="43">
        <f>VLOOKUP(A19:A40,Dataset!A:G,7,FALSE)</f>
        <v>34.7</v>
      </c>
      <c r="C19" s="15">
        <f>VLOOKUP(A19:A40,Dataset!A:N,14,FALSE)</f>
        <v>106.1</v>
      </c>
      <c r="D19" s="15">
        <f>VLOOKUP(A19:A40,Dataset!A:R,18,FALSE)</f>
        <v>63.6</v>
      </c>
      <c r="E19" s="15">
        <f>VLOOKUP(A19:A40,Dataset!A:T,20,FALSE)</f>
        <v>128.6</v>
      </c>
      <c r="F19" s="44">
        <f>VLOOKUP(A19:A40,Dataset!A:V,22,FALSE)</f>
        <v>63.6</v>
      </c>
    </row>
    <row r="20" ht="15" spans="1:6">
      <c r="A20" s="14" t="s">
        <v>64</v>
      </c>
      <c r="B20" s="43">
        <f>VLOOKUP(A20:A41,Dataset!A:G,7,FALSE)</f>
        <v>0</v>
      </c>
      <c r="C20" s="15">
        <f>VLOOKUP(A20:A41,Dataset!A:N,14,FALSE)</f>
        <v>0</v>
      </c>
      <c r="D20" s="15">
        <f>VLOOKUP(A20:A41,Dataset!A:R,18,FALSE)</f>
        <v>0</v>
      </c>
      <c r="E20" s="15">
        <f>VLOOKUP(A20:A41,Dataset!A:T,20,FALSE)</f>
        <v>0</v>
      </c>
      <c r="F20" s="44">
        <f>VLOOKUP(A20:A41,Dataset!A:V,22,FALSE)</f>
        <v>0</v>
      </c>
    </row>
    <row r="21" ht="15" spans="1:6">
      <c r="A21" s="14" t="s">
        <v>65</v>
      </c>
      <c r="B21" s="43">
        <f>VLOOKUP(A21:A42,Dataset!A:G,7,FALSE)</f>
        <v>41.3</v>
      </c>
      <c r="C21" s="15">
        <f>VLOOKUP(A21:A42,Dataset!A:N,14,FALSE)</f>
        <v>124.4</v>
      </c>
      <c r="D21" s="15">
        <f>VLOOKUP(A21:A42,Dataset!A:R,18,FALSE)</f>
        <v>75</v>
      </c>
      <c r="E21" s="15">
        <f>VLOOKUP(A21:A42,Dataset!A:T,20,FALSE)</f>
        <v>151.5</v>
      </c>
      <c r="F21" s="44">
        <f>VLOOKUP(A21:A42,Dataset!A:V,22,FALSE)</f>
        <v>75</v>
      </c>
    </row>
    <row r="22" ht="15" spans="1:6">
      <c r="A22" s="14" t="s">
        <v>68</v>
      </c>
      <c r="B22" s="43">
        <f>VLOOKUP(A22:A43,Dataset!A:G,7,FALSE)</f>
        <v>-1</v>
      </c>
      <c r="C22" s="15">
        <f>VLOOKUP(A22:A43,Dataset!A:N,14,FALSE)</f>
        <v>-1</v>
      </c>
      <c r="D22" s="15">
        <f>VLOOKUP(A22:A43,Dataset!A:R,18,FALSE)</f>
        <v>-1</v>
      </c>
      <c r="E22" s="15">
        <f>VLOOKUP(A22:A43,Dataset!A:T,20,FALSE)</f>
        <v>-1</v>
      </c>
      <c r="F22" s="44">
        <f>VLOOKUP(A22:A43,Dataset!A:V,22,FALSE)</f>
        <v>-1</v>
      </c>
    </row>
    <row r="23" ht="15" spans="1:6">
      <c r="A23" s="14" t="s">
        <v>69</v>
      </c>
      <c r="B23" s="43">
        <f>VLOOKUP(A23:A44,Dataset!A:G,7,FALSE)</f>
        <v>45</v>
      </c>
      <c r="C23" s="15">
        <f>VLOOKUP(A23:A44,Dataset!A:N,14,FALSE)</f>
        <v>133.4</v>
      </c>
      <c r="D23" s="15">
        <f>VLOOKUP(A23:A44,Dataset!A:R,18,FALSE)</f>
        <v>79.4</v>
      </c>
      <c r="E23" s="15">
        <f>VLOOKUP(A23:A44,Dataset!A:T,20,FALSE)</f>
        <v>160.9</v>
      </c>
      <c r="F23" s="44">
        <f>VLOOKUP(A23:A44,Dataset!A:V,22,FALSE)</f>
        <v>79.4</v>
      </c>
    </row>
    <row r="24" ht="15" spans="1:6">
      <c r="A24" s="14" t="s">
        <v>70</v>
      </c>
      <c r="B24" s="43">
        <f>VLOOKUP(A24:A45,Dataset!A:G,7,FALSE)</f>
        <v>-1</v>
      </c>
      <c r="C24" s="15">
        <f>VLOOKUP(A24:A45,Dataset!A:N,14,FALSE)</f>
        <v>-1</v>
      </c>
      <c r="D24" s="15">
        <f>VLOOKUP(A24:A45,Dataset!A:R,18,FALSE)</f>
        <v>-1</v>
      </c>
      <c r="E24" s="15">
        <f>VLOOKUP(A24:A45,Dataset!A:T,20,FALSE)</f>
        <v>-1</v>
      </c>
      <c r="F24" s="44">
        <f>VLOOKUP(A24:A45,Dataset!A:V,22,FALSE)</f>
        <v>-1</v>
      </c>
    </row>
    <row r="25" ht="15" spans="1:6">
      <c r="A25" s="14" t="s">
        <v>72</v>
      </c>
      <c r="B25" s="43">
        <f>VLOOKUP(A25:A46,Dataset!A:G,7,FALSE)</f>
        <v>43.3</v>
      </c>
      <c r="C25" s="15">
        <f>VLOOKUP(A25:A46,Dataset!A:N,14,FALSE)</f>
        <v>128.6</v>
      </c>
      <c r="D25" s="15">
        <f>VLOOKUP(A25:A46,Dataset!A:R,18,FALSE)</f>
        <v>79.4</v>
      </c>
      <c r="E25" s="15">
        <f>VLOOKUP(A25:A46,Dataset!A:T,20,FALSE)</f>
        <v>160.9</v>
      </c>
      <c r="F25" s="44">
        <f>VLOOKUP(A25:A46,Dataset!A:V,22,FALSE)</f>
        <v>79.4</v>
      </c>
    </row>
    <row r="26" ht="15" spans="1:6">
      <c r="A26" s="14" t="s">
        <v>76</v>
      </c>
      <c r="B26" s="43">
        <f>VLOOKUP(A26:A47,Dataset!A:G,7,FALSE)</f>
        <v>49.1</v>
      </c>
      <c r="C26" s="15">
        <f>VLOOKUP(A26:A47,Dataset!A:N,14,FALSE)</f>
        <v>146.8</v>
      </c>
      <c r="D26" s="15">
        <f>VLOOKUP(A26:A47,Dataset!A:R,18,FALSE)</f>
        <v>90.9</v>
      </c>
      <c r="E26" s="15">
        <f>VLOOKUP(A26:A47,Dataset!A:T,20,FALSE)</f>
        <v>183.5</v>
      </c>
      <c r="F26" s="44">
        <f>VLOOKUP(A26:A47,Dataset!A:V,22,FALSE)</f>
        <v>90.9</v>
      </c>
    </row>
    <row r="27" ht="15" spans="1:6">
      <c r="A27" s="14" t="s">
        <v>78</v>
      </c>
      <c r="B27" s="43">
        <f>VLOOKUP(A27:A48,Dataset!A:G,7,FALSE)</f>
        <v>51.8</v>
      </c>
      <c r="C27" s="15">
        <f>VLOOKUP(A27:A48,Dataset!A:N,14,FALSE)</f>
        <v>156.4</v>
      </c>
      <c r="D27" s="15">
        <f>VLOOKUP(A27:A48,Dataset!A:R,18,FALSE)</f>
        <v>93.1</v>
      </c>
      <c r="E27" s="15">
        <f>VLOOKUP(A27:A48,Dataset!A:T,20,FALSE)</f>
        <v>188.1</v>
      </c>
      <c r="F27" s="44">
        <f>VLOOKUP(A27:A48,Dataset!A:V,22,FALSE)</f>
        <v>93.1</v>
      </c>
    </row>
    <row r="28" ht="15" spans="1:6">
      <c r="A28" s="22" t="s">
        <v>95</v>
      </c>
      <c r="B28" s="45">
        <f>MIN(B6:B27)</f>
        <v>-1</v>
      </c>
      <c r="C28" s="45">
        <f>MIN(C6:C27)</f>
        <v>-1</v>
      </c>
      <c r="D28" s="45">
        <f>MIN(D6:D27)</f>
        <v>-1</v>
      </c>
      <c r="E28" s="45">
        <f>MIN(E6:E27)</f>
        <v>-1</v>
      </c>
      <c r="F28" s="45">
        <f>MIN(F6:F27)</f>
        <v>-1</v>
      </c>
    </row>
    <row r="29" ht="15" spans="1:6">
      <c r="A29" s="22" t="s">
        <v>96</v>
      </c>
      <c r="B29" s="45">
        <f>MAX(B6:B27)</f>
        <v>51.8</v>
      </c>
      <c r="C29" s="45">
        <f>MAX(C6:C27)</f>
        <v>156.4</v>
      </c>
      <c r="D29" s="45">
        <f>MAX(D6:D27)</f>
        <v>93.1</v>
      </c>
      <c r="E29" s="45">
        <f>MAX(E6:E27)</f>
        <v>188.1</v>
      </c>
      <c r="F29" s="45">
        <f>MAX(F6:F27)</f>
        <v>93.1</v>
      </c>
    </row>
    <row r="30" ht="15" spans="1:6">
      <c r="A30" s="22" t="s">
        <v>97</v>
      </c>
      <c r="B30" s="45">
        <f>AVERAGE(B6:B27)</f>
        <v>20.8272727272727</v>
      </c>
      <c r="C30" s="45">
        <f>AVERAGE(C6:C27)</f>
        <v>62.3772727272727</v>
      </c>
      <c r="D30" s="45">
        <f>AVERAGE(D6:D27)</f>
        <v>37.8</v>
      </c>
      <c r="E30" s="45">
        <f>AVERAGE(E6:E27)</f>
        <v>76.4181818181818</v>
      </c>
      <c r="F30" s="45">
        <f>AVERAGE(F6:F27)</f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I54"/>
  <sheetViews>
    <sheetView zoomScale="145" zoomScaleNormal="145" topLeftCell="A10" workbookViewId="0">
      <selection activeCell="H12" sqref="H12"/>
    </sheetView>
  </sheetViews>
  <sheetFormatPr defaultColWidth="11" defaultRowHeight="15"/>
  <cols>
    <col min="1" max="1" width="39.8" style="4" customWidth="1"/>
    <col min="2" max="16384" width="11" style="4"/>
  </cols>
  <sheetData>
    <row r="1" s="3" customFormat="1" ht="21" spans="1:2">
      <c r="A1" s="2" t="s">
        <v>10</v>
      </c>
      <c r="B1" s="3" t="s">
        <v>98</v>
      </c>
    </row>
    <row r="2" customFormat="1" ht="12.75"/>
    <row r="3" s="1" customFormat="1" spans="2:2">
      <c r="B3" s="4"/>
    </row>
    <row r="4" s="1" customFormat="1" ht="15.75" spans="2:2">
      <c r="B4" s="4" t="s">
        <v>99</v>
      </c>
    </row>
    <row r="5" ht="19.5" spans="1:4">
      <c r="A5" s="5" t="s">
        <v>100</v>
      </c>
      <c r="B5" s="31" t="s">
        <v>101</v>
      </c>
      <c r="C5" s="32"/>
      <c r="D5" s="33"/>
    </row>
    <row r="6" ht="19.5" spans="1:35">
      <c r="A6" s="5" t="s">
        <v>102</v>
      </c>
      <c r="B6" s="31" t="s">
        <v>103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8"/>
    </row>
    <row r="7" ht="18.75" spans="1:2">
      <c r="A7" s="5"/>
      <c r="B7" s="23"/>
    </row>
    <row r="9" ht="23.25" spans="1:10">
      <c r="A9" s="8" t="s">
        <v>104</v>
      </c>
      <c r="I9" s="1"/>
      <c r="J9" s="1"/>
    </row>
    <row r="10" spans="1:10">
      <c r="A10" s="34" t="s">
        <v>105</v>
      </c>
      <c r="B10" s="12" t="s">
        <v>106</v>
      </c>
      <c r="C10" s="12" t="s">
        <v>107</v>
      </c>
      <c r="D10" s="12" t="s">
        <v>108</v>
      </c>
      <c r="E10" s="12" t="s">
        <v>109</v>
      </c>
      <c r="F10" s="12" t="s">
        <v>110</v>
      </c>
      <c r="I10" s="1"/>
      <c r="J10" s="1"/>
    </row>
    <row r="11" spans="1:10">
      <c r="A11" s="18" t="s">
        <v>111</v>
      </c>
      <c r="B11" s="19">
        <v>20000</v>
      </c>
      <c r="C11" s="19" t="s">
        <v>39</v>
      </c>
      <c r="D11" s="19">
        <v>0</v>
      </c>
      <c r="E11" s="35" t="s">
        <v>40</v>
      </c>
      <c r="F11" s="35">
        <v>24</v>
      </c>
      <c r="I11" s="1"/>
      <c r="J11" s="1"/>
    </row>
    <row r="14" ht="23.25" spans="1:1">
      <c r="A14" s="8" t="s">
        <v>94</v>
      </c>
    </row>
    <row r="15" spans="1:6">
      <c r="A15" s="11" t="s">
        <v>112</v>
      </c>
      <c r="B15" s="12" t="s">
        <v>106</v>
      </c>
      <c r="C15" s="36" t="s">
        <v>107</v>
      </c>
      <c r="D15" s="12" t="s">
        <v>108</v>
      </c>
      <c r="E15" s="36" t="s">
        <v>109</v>
      </c>
      <c r="F15" s="12" t="s">
        <v>110</v>
      </c>
    </row>
    <row r="16" spans="1:6">
      <c r="A16" s="14" t="s">
        <v>111</v>
      </c>
      <c r="B16" s="15">
        <v>20000</v>
      </c>
      <c r="C16" s="4" t="s">
        <v>39</v>
      </c>
      <c r="D16" s="15">
        <v>0</v>
      </c>
      <c r="E16" s="4" t="s">
        <v>40</v>
      </c>
      <c r="F16" s="15">
        <v>24</v>
      </c>
    </row>
    <row r="17" spans="1:6">
      <c r="A17" s="14" t="s">
        <v>113</v>
      </c>
      <c r="B17" s="15">
        <v>20002</v>
      </c>
      <c r="C17" s="4" t="s">
        <v>39</v>
      </c>
      <c r="D17" s="15">
        <v>0</v>
      </c>
      <c r="E17" s="4" t="s">
        <v>40</v>
      </c>
      <c r="F17" s="15">
        <v>24</v>
      </c>
    </row>
    <row r="18" spans="1:6">
      <c r="A18" s="14" t="s">
        <v>114</v>
      </c>
      <c r="B18" s="15">
        <v>20004</v>
      </c>
      <c r="C18" s="4" t="s">
        <v>39</v>
      </c>
      <c r="D18" s="15">
        <v>0</v>
      </c>
      <c r="E18" s="4" t="s">
        <v>40</v>
      </c>
      <c r="F18" s="15">
        <v>24</v>
      </c>
    </row>
    <row r="19" spans="1:6">
      <c r="A19" s="14" t="s">
        <v>115</v>
      </c>
      <c r="B19" s="15">
        <v>20006</v>
      </c>
      <c r="C19" s="4" t="s">
        <v>39</v>
      </c>
      <c r="D19" s="15">
        <v>0</v>
      </c>
      <c r="E19" s="4" t="s">
        <v>40</v>
      </c>
      <c r="F19" s="15">
        <v>24</v>
      </c>
    </row>
    <row r="20" spans="1:6">
      <c r="A20" s="14" t="s">
        <v>116</v>
      </c>
      <c r="B20" s="15">
        <v>20008</v>
      </c>
      <c r="C20" s="4" t="s">
        <v>39</v>
      </c>
      <c r="D20" s="15">
        <v>0</v>
      </c>
      <c r="E20" s="4" t="s">
        <v>40</v>
      </c>
      <c r="F20" s="15">
        <v>24</v>
      </c>
    </row>
    <row r="21" spans="1:6">
      <c r="A21" s="14" t="s">
        <v>117</v>
      </c>
      <c r="B21" s="15">
        <v>20010</v>
      </c>
      <c r="C21" s="4" t="s">
        <v>39</v>
      </c>
      <c r="D21" s="15">
        <v>0</v>
      </c>
      <c r="E21" s="4" t="s">
        <v>40</v>
      </c>
      <c r="F21" s="15">
        <v>24</v>
      </c>
    </row>
    <row r="22" spans="1:6">
      <c r="A22" s="14" t="s">
        <v>118</v>
      </c>
      <c r="B22" s="15">
        <v>20012</v>
      </c>
      <c r="C22" s="4" t="s">
        <v>39</v>
      </c>
      <c r="D22" s="15">
        <v>0</v>
      </c>
      <c r="E22" s="4" t="s">
        <v>40</v>
      </c>
      <c r="F22" s="15">
        <v>24</v>
      </c>
    </row>
    <row r="23" spans="1:6">
      <c r="A23" s="14" t="s">
        <v>119</v>
      </c>
      <c r="B23" s="15">
        <v>20014</v>
      </c>
      <c r="C23" s="4" t="s">
        <v>39</v>
      </c>
      <c r="D23" s="15">
        <v>0</v>
      </c>
      <c r="E23" s="4" t="s">
        <v>40</v>
      </c>
      <c r="F23" s="15">
        <v>24</v>
      </c>
    </row>
    <row r="24" spans="1:6">
      <c r="A24" s="14" t="s">
        <v>120</v>
      </c>
      <c r="B24" s="15">
        <v>20016</v>
      </c>
      <c r="C24" s="4" t="s">
        <v>39</v>
      </c>
      <c r="D24" s="15">
        <v>0</v>
      </c>
      <c r="E24" s="4" t="s">
        <v>40</v>
      </c>
      <c r="F24" s="15">
        <v>24</v>
      </c>
    </row>
    <row r="25" spans="1:6">
      <c r="A25" s="14" t="s">
        <v>121</v>
      </c>
      <c r="B25" s="15">
        <v>20018</v>
      </c>
      <c r="C25" s="4" t="s">
        <v>39</v>
      </c>
      <c r="D25" s="15">
        <v>0</v>
      </c>
      <c r="E25" s="4" t="s">
        <v>40</v>
      </c>
      <c r="F25" s="15">
        <v>24</v>
      </c>
    </row>
    <row r="26" spans="1:6">
      <c r="A26" s="14" t="s">
        <v>122</v>
      </c>
      <c r="B26" s="15">
        <v>20020</v>
      </c>
      <c r="C26" s="4" t="s">
        <v>39</v>
      </c>
      <c r="D26" s="15">
        <v>0</v>
      </c>
      <c r="E26" s="4" t="s">
        <v>40</v>
      </c>
      <c r="F26" s="15">
        <v>24</v>
      </c>
    </row>
    <row r="27" spans="1:6">
      <c r="A27" s="14" t="s">
        <v>123</v>
      </c>
      <c r="B27" s="15">
        <v>20022</v>
      </c>
      <c r="C27" s="4" t="s">
        <v>39</v>
      </c>
      <c r="D27" s="15">
        <v>0</v>
      </c>
      <c r="E27" s="4" t="s">
        <v>40</v>
      </c>
      <c r="F27" s="15">
        <v>24</v>
      </c>
    </row>
    <row r="28" spans="1:6">
      <c r="A28" s="14" t="s">
        <v>124</v>
      </c>
      <c r="B28" s="15">
        <v>20024</v>
      </c>
      <c r="C28" s="4" t="s">
        <v>39</v>
      </c>
      <c r="D28" s="15">
        <v>0</v>
      </c>
      <c r="E28" s="4" t="s">
        <v>40</v>
      </c>
      <c r="F28" s="15">
        <v>24</v>
      </c>
    </row>
    <row r="29" spans="1:6">
      <c r="A29" s="14" t="s">
        <v>125</v>
      </c>
      <c r="B29" s="15">
        <v>20026</v>
      </c>
      <c r="C29" s="4" t="s">
        <v>39</v>
      </c>
      <c r="D29" s="15">
        <v>0</v>
      </c>
      <c r="E29" s="4" t="s">
        <v>40</v>
      </c>
      <c r="F29" s="15">
        <v>24</v>
      </c>
    </row>
    <row r="30" spans="1:6">
      <c r="A30" s="14" t="s">
        <v>126</v>
      </c>
      <c r="B30" s="15">
        <v>20028</v>
      </c>
      <c r="C30" s="4" t="s">
        <v>39</v>
      </c>
      <c r="D30" s="15">
        <v>0</v>
      </c>
      <c r="E30" s="4" t="s">
        <v>40</v>
      </c>
      <c r="F30" s="15">
        <v>24</v>
      </c>
    </row>
    <row r="31" spans="1:6">
      <c r="A31" s="14" t="s">
        <v>127</v>
      </c>
      <c r="B31" s="15">
        <v>20030</v>
      </c>
      <c r="C31" s="4" t="s">
        <v>39</v>
      </c>
      <c r="D31" s="15">
        <v>0</v>
      </c>
      <c r="E31" s="4" t="s">
        <v>40</v>
      </c>
      <c r="F31" s="15">
        <v>24</v>
      </c>
    </row>
    <row r="32" spans="1:6">
      <c r="A32" s="14" t="s">
        <v>128</v>
      </c>
      <c r="B32" s="15">
        <v>20032</v>
      </c>
      <c r="C32" s="4" t="s">
        <v>39</v>
      </c>
      <c r="D32" s="15">
        <v>0</v>
      </c>
      <c r="E32" s="4" t="s">
        <v>40</v>
      </c>
      <c r="F32" s="15">
        <v>24</v>
      </c>
    </row>
    <row r="33" spans="1:6">
      <c r="A33" s="14" t="s">
        <v>129</v>
      </c>
      <c r="B33" s="15">
        <v>20034</v>
      </c>
      <c r="C33" s="4" t="s">
        <v>39</v>
      </c>
      <c r="D33" s="15">
        <v>0</v>
      </c>
      <c r="E33" s="4" t="s">
        <v>40</v>
      </c>
      <c r="F33" s="15">
        <v>24</v>
      </c>
    </row>
    <row r="34" spans="1:6">
      <c r="A34" s="14" t="s">
        <v>130</v>
      </c>
      <c r="B34" s="15">
        <v>20036</v>
      </c>
      <c r="C34" s="4" t="s">
        <v>39</v>
      </c>
      <c r="D34" s="15">
        <v>0</v>
      </c>
      <c r="E34" s="4" t="s">
        <v>40</v>
      </c>
      <c r="F34" s="15">
        <v>24</v>
      </c>
    </row>
    <row r="35" spans="1:6">
      <c r="A35" s="14" t="s">
        <v>131</v>
      </c>
      <c r="B35" s="15">
        <v>20038</v>
      </c>
      <c r="C35" s="4" t="s">
        <v>39</v>
      </c>
      <c r="D35" s="15">
        <v>0</v>
      </c>
      <c r="E35" s="4" t="s">
        <v>40</v>
      </c>
      <c r="F35" s="15">
        <v>24</v>
      </c>
    </row>
    <row r="36" spans="1:6">
      <c r="A36" s="14" t="s">
        <v>132</v>
      </c>
      <c r="B36" s="15">
        <v>20040</v>
      </c>
      <c r="C36" s="4" t="s">
        <v>39</v>
      </c>
      <c r="D36" s="15">
        <v>0</v>
      </c>
      <c r="E36" s="4" t="s">
        <v>40</v>
      </c>
      <c r="F36" s="15">
        <v>24</v>
      </c>
    </row>
    <row r="37" spans="1:6">
      <c r="A37" s="14" t="s">
        <v>133</v>
      </c>
      <c r="B37" s="15">
        <v>20042</v>
      </c>
      <c r="C37" s="4" t="s">
        <v>39</v>
      </c>
      <c r="D37" s="15">
        <v>0</v>
      </c>
      <c r="E37" s="4" t="s">
        <v>40</v>
      </c>
      <c r="F37" s="15">
        <v>24</v>
      </c>
    </row>
    <row r="38" spans="1:6">
      <c r="A38" s="14" t="s">
        <v>134</v>
      </c>
      <c r="B38" s="15">
        <v>20044</v>
      </c>
      <c r="C38" s="4" t="s">
        <v>39</v>
      </c>
      <c r="D38" s="15">
        <v>0</v>
      </c>
      <c r="E38" s="4" t="s">
        <v>40</v>
      </c>
      <c r="F38" s="15">
        <v>24</v>
      </c>
    </row>
    <row r="39" spans="1:6">
      <c r="A39" s="14" t="s">
        <v>135</v>
      </c>
      <c r="B39" s="15">
        <v>20046</v>
      </c>
      <c r="C39" s="4" t="s">
        <v>39</v>
      </c>
      <c r="D39" s="15">
        <v>0</v>
      </c>
      <c r="E39" s="4" t="s">
        <v>40</v>
      </c>
      <c r="F39" s="15">
        <v>24</v>
      </c>
    </row>
    <row r="40" spans="1:6">
      <c r="A40" s="14" t="s">
        <v>136</v>
      </c>
      <c r="B40" s="15">
        <v>20048</v>
      </c>
      <c r="C40" s="4" t="s">
        <v>39</v>
      </c>
      <c r="D40" s="15">
        <v>0</v>
      </c>
      <c r="E40" s="4" t="s">
        <v>40</v>
      </c>
      <c r="F40" s="15">
        <v>24</v>
      </c>
    </row>
    <row r="41" spans="1:6">
      <c r="A41" s="14" t="s">
        <v>137</v>
      </c>
      <c r="B41" s="15">
        <v>20050</v>
      </c>
      <c r="C41" s="4" t="s">
        <v>39</v>
      </c>
      <c r="D41" s="15">
        <v>0</v>
      </c>
      <c r="E41" s="4" t="s">
        <v>40</v>
      </c>
      <c r="F41" s="15">
        <v>24</v>
      </c>
    </row>
    <row r="42" spans="1:6">
      <c r="A42" s="14" t="s">
        <v>138</v>
      </c>
      <c r="B42" s="15">
        <v>20052</v>
      </c>
      <c r="C42" s="4" t="s">
        <v>39</v>
      </c>
      <c r="D42" s="15">
        <v>0</v>
      </c>
      <c r="E42" s="4" t="s">
        <v>40</v>
      </c>
      <c r="F42" s="15">
        <v>24</v>
      </c>
    </row>
    <row r="43" spans="1:6">
      <c r="A43" s="14" t="s">
        <v>139</v>
      </c>
      <c r="B43" s="15">
        <v>20054</v>
      </c>
      <c r="C43" s="4" t="s">
        <v>39</v>
      </c>
      <c r="D43" s="15">
        <v>0</v>
      </c>
      <c r="E43" s="4" t="s">
        <v>40</v>
      </c>
      <c r="F43" s="15">
        <v>24</v>
      </c>
    </row>
    <row r="44" spans="1:6">
      <c r="A44" s="14" t="s">
        <v>140</v>
      </c>
      <c r="B44" s="15">
        <v>20058</v>
      </c>
      <c r="C44" s="4" t="s">
        <v>39</v>
      </c>
      <c r="D44" s="15">
        <v>0</v>
      </c>
      <c r="E44" s="4" t="s">
        <v>40</v>
      </c>
      <c r="F44" s="15">
        <v>24</v>
      </c>
    </row>
    <row r="45" spans="1:6">
      <c r="A45" s="14" t="s">
        <v>141</v>
      </c>
      <c r="B45" s="15">
        <v>20060</v>
      </c>
      <c r="C45" s="4" t="s">
        <v>39</v>
      </c>
      <c r="D45" s="15">
        <v>0</v>
      </c>
      <c r="E45" s="4" t="s">
        <v>40</v>
      </c>
      <c r="F45" s="15">
        <v>24</v>
      </c>
    </row>
    <row r="46" spans="1:6">
      <c r="A46" s="14" t="s">
        <v>142</v>
      </c>
      <c r="B46" s="15">
        <v>21000</v>
      </c>
      <c r="C46" s="4" t="s">
        <v>39</v>
      </c>
      <c r="D46" s="15">
        <v>0</v>
      </c>
      <c r="E46" s="4" t="s">
        <v>40</v>
      </c>
      <c r="F46" s="15">
        <v>24</v>
      </c>
    </row>
    <row r="47" spans="1:6">
      <c r="A47" s="14" t="s">
        <v>143</v>
      </c>
      <c r="B47" s="15">
        <v>21002</v>
      </c>
      <c r="C47" s="4" t="s">
        <v>39</v>
      </c>
      <c r="D47" s="15">
        <v>0</v>
      </c>
      <c r="E47" s="4" t="s">
        <v>40</v>
      </c>
      <c r="F47" s="15">
        <v>24</v>
      </c>
    </row>
    <row r="48" spans="1:6">
      <c r="A48" s="14" t="s">
        <v>144</v>
      </c>
      <c r="B48" s="15">
        <v>21004</v>
      </c>
      <c r="C48" s="4" t="s">
        <v>39</v>
      </c>
      <c r="D48" s="15">
        <v>0</v>
      </c>
      <c r="E48" s="4" t="s">
        <v>40</v>
      </c>
      <c r="F48" s="15">
        <v>24</v>
      </c>
    </row>
    <row r="49" spans="1:6">
      <c r="A49" s="14" t="s">
        <v>145</v>
      </c>
      <c r="B49" s="15">
        <v>21006</v>
      </c>
      <c r="C49" s="4" t="s">
        <v>39</v>
      </c>
      <c r="D49" s="15">
        <v>0</v>
      </c>
      <c r="E49" s="4" t="s">
        <v>40</v>
      </c>
      <c r="F49" s="15">
        <v>24</v>
      </c>
    </row>
    <row r="50" spans="1:6">
      <c r="A50" s="14" t="s">
        <v>146</v>
      </c>
      <c r="B50" s="15">
        <v>21008</v>
      </c>
      <c r="C50" s="4" t="s">
        <v>39</v>
      </c>
      <c r="D50" s="15">
        <v>0</v>
      </c>
      <c r="E50" s="4" t="s">
        <v>40</v>
      </c>
      <c r="F50" s="15">
        <v>24</v>
      </c>
    </row>
    <row r="51" spans="1:6">
      <c r="A51" s="14" t="s">
        <v>147</v>
      </c>
      <c r="B51" s="15">
        <v>21010</v>
      </c>
      <c r="C51" s="4" t="s">
        <v>39</v>
      </c>
      <c r="D51" s="15">
        <v>0</v>
      </c>
      <c r="E51" s="4" t="s">
        <v>40</v>
      </c>
      <c r="F51" s="15">
        <v>24</v>
      </c>
    </row>
    <row r="52" spans="1:6">
      <c r="A52" s="14" t="s">
        <v>148</v>
      </c>
      <c r="B52" s="15">
        <v>21012</v>
      </c>
      <c r="C52" s="4" t="s">
        <v>39</v>
      </c>
      <c r="D52" s="15">
        <v>0</v>
      </c>
      <c r="E52" s="4" t="s">
        <v>40</v>
      </c>
      <c r="F52" s="15">
        <v>24</v>
      </c>
    </row>
    <row r="53" spans="1:6">
      <c r="A53" s="14" t="s">
        <v>149</v>
      </c>
      <c r="B53" s="15">
        <v>21014</v>
      </c>
      <c r="C53" s="4" t="s">
        <v>39</v>
      </c>
      <c r="D53" s="15">
        <v>0</v>
      </c>
      <c r="E53" s="4" t="s">
        <v>40</v>
      </c>
      <c r="F53" s="15">
        <v>24</v>
      </c>
    </row>
    <row r="54" spans="1:6">
      <c r="A54" s="18" t="s">
        <v>150</v>
      </c>
      <c r="B54" s="19">
        <v>21016</v>
      </c>
      <c r="C54" s="37" t="s">
        <v>39</v>
      </c>
      <c r="D54" s="19">
        <v>0</v>
      </c>
      <c r="E54" s="37" t="s">
        <v>40</v>
      </c>
      <c r="F54" s="19">
        <v>24</v>
      </c>
    </row>
  </sheetData>
  <mergeCells count="1">
    <mergeCell ref="B6:AI6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22"/>
  <sheetViews>
    <sheetView workbookViewId="0">
      <selection activeCell="K27" sqref="K27"/>
    </sheetView>
  </sheetViews>
  <sheetFormatPr defaultColWidth="11" defaultRowHeight="12.75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151</v>
      </c>
    </row>
    <row r="2" ht="18.75" spans="2:2">
      <c r="B2" s="23" t="s">
        <v>152</v>
      </c>
    </row>
    <row r="5" ht="15" spans="2:2">
      <c r="B5" s="4" t="s">
        <v>99</v>
      </c>
    </row>
    <row r="6" ht="21.75" spans="1:3">
      <c r="A6" s="7" t="s">
        <v>100</v>
      </c>
      <c r="B6" s="24" t="s">
        <v>153</v>
      </c>
      <c r="C6" s="25"/>
    </row>
    <row r="7" ht="21.75" spans="1:23">
      <c r="A7" s="7" t="s">
        <v>102</v>
      </c>
      <c r="B7" s="26" t="s">
        <v>154</v>
      </c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30"/>
    </row>
    <row r="10" ht="23.25" spans="1:1">
      <c r="A10" s="8" t="s">
        <v>94</v>
      </c>
    </row>
    <row r="11" ht="15" spans="1:3">
      <c r="A11" s="28" t="s">
        <v>155</v>
      </c>
      <c r="B11" s="12" t="s">
        <v>156</v>
      </c>
      <c r="C11" s="12" t="s">
        <v>157</v>
      </c>
    </row>
    <row r="12" ht="15" spans="1:3">
      <c r="A12" s="28">
        <v>44927</v>
      </c>
      <c r="B12" s="12" t="s">
        <v>158</v>
      </c>
      <c r="C12" s="12">
        <v>200</v>
      </c>
    </row>
    <row r="13" ht="15" spans="1:3">
      <c r="A13" s="28">
        <v>44928</v>
      </c>
      <c r="B13" s="12" t="s">
        <v>159</v>
      </c>
      <c r="C13" s="12" t="e">
        <v>#N/A</v>
      </c>
    </row>
    <row r="14" ht="15" spans="1:3">
      <c r="A14" s="28">
        <v>44929</v>
      </c>
      <c r="B14" s="12" t="s">
        <v>160</v>
      </c>
      <c r="C14" s="12">
        <v>50</v>
      </c>
    </row>
    <row r="15" ht="15" spans="1:3">
      <c r="A15" s="28">
        <v>44930</v>
      </c>
      <c r="B15" s="12" t="s">
        <v>161</v>
      </c>
      <c r="C15" s="12" t="e">
        <v>#N/A</v>
      </c>
    </row>
    <row r="16" ht="15" spans="1:3">
      <c r="A16" s="28">
        <v>44931</v>
      </c>
      <c r="B16" s="12" t="s">
        <v>162</v>
      </c>
      <c r="C16" s="12">
        <v>10</v>
      </c>
    </row>
    <row r="17" ht="15" spans="1:3">
      <c r="A17" s="28">
        <v>44932</v>
      </c>
      <c r="B17" s="12" t="s">
        <v>163</v>
      </c>
      <c r="C17" s="12">
        <v>150</v>
      </c>
    </row>
    <row r="18" ht="15" spans="1:3">
      <c r="A18" s="28">
        <v>44933</v>
      </c>
      <c r="B18" s="12" t="s">
        <v>164</v>
      </c>
      <c r="C18" s="12">
        <v>80</v>
      </c>
    </row>
    <row r="19" ht="15" spans="1:3">
      <c r="A19" s="28">
        <v>44934</v>
      </c>
      <c r="B19" s="12" t="s">
        <v>165</v>
      </c>
      <c r="C19" s="12" t="e">
        <v>#N/A</v>
      </c>
    </row>
    <row r="20" ht="15" spans="1:3">
      <c r="A20" s="28">
        <v>44935</v>
      </c>
      <c r="B20" s="12" t="s">
        <v>166</v>
      </c>
      <c r="C20" s="12">
        <v>30</v>
      </c>
    </row>
    <row r="21" ht="15" spans="1:3">
      <c r="A21" s="28">
        <v>44936</v>
      </c>
      <c r="B21" s="12" t="s">
        <v>167</v>
      </c>
      <c r="C21" s="12" t="e">
        <v>#N/A</v>
      </c>
    </row>
    <row r="22" ht="15" spans="2:3">
      <c r="B22" s="12" t="s">
        <v>168</v>
      </c>
      <c r="C22" s="29">
        <f t="array" ref="C22">SUM(IFERROR(C12:C21,20))</f>
        <v>600</v>
      </c>
    </row>
  </sheetData>
  <mergeCells count="2">
    <mergeCell ref="B6:C6"/>
    <mergeCell ref="B7:W7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workbookViewId="0">
      <selection activeCell="F7" sqref="F7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2">
      <c r="A1" s="2" t="s">
        <v>12</v>
      </c>
      <c r="B1" s="3" t="s">
        <v>169</v>
      </c>
    </row>
    <row r="3" ht="15" spans="2:2">
      <c r="B3" s="4" t="s">
        <v>99</v>
      </c>
    </row>
    <row r="4" ht="18.75" spans="1:4">
      <c r="A4" s="5" t="s">
        <v>100</v>
      </c>
      <c r="B4" s="4"/>
      <c r="D4" s="6" t="s">
        <v>170</v>
      </c>
    </row>
    <row r="5" ht="18.75" spans="1:2">
      <c r="A5" s="5" t="s">
        <v>102</v>
      </c>
      <c r="B5" s="4"/>
    </row>
    <row r="6" ht="15" spans="1:2">
      <c r="A6" s="7"/>
      <c r="B6" s="4"/>
    </row>
    <row r="8" ht="23.25" spans="1:13">
      <c r="A8" s="8" t="s">
        <v>94</v>
      </c>
      <c r="M8" s="8" t="s">
        <v>171</v>
      </c>
    </row>
    <row r="9" ht="15" spans="1:14">
      <c r="A9" s="9"/>
      <c r="B9" s="9" t="s">
        <v>172</v>
      </c>
      <c r="C9" s="9" t="s">
        <v>173</v>
      </c>
      <c r="D9" s="9" t="s">
        <v>174</v>
      </c>
      <c r="E9" s="9" t="s">
        <v>175</v>
      </c>
      <c r="F9" s="9" t="s">
        <v>176</v>
      </c>
      <c r="G9" s="9" t="s">
        <v>177</v>
      </c>
      <c r="H9" s="9" t="s">
        <v>178</v>
      </c>
      <c r="I9" s="9" t="s">
        <v>179</v>
      </c>
      <c r="J9" s="9" t="s">
        <v>180</v>
      </c>
      <c r="M9" s="22" t="s">
        <v>15</v>
      </c>
      <c r="N9" s="22" t="s">
        <v>181</v>
      </c>
    </row>
    <row r="10" ht="15" spans="1:14">
      <c r="A10" s="9" t="s">
        <v>172</v>
      </c>
      <c r="B10" s="10">
        <v>-1</v>
      </c>
      <c r="C10" s="10">
        <v>95</v>
      </c>
      <c r="D10" s="10">
        <v>-1</v>
      </c>
      <c r="E10" s="10">
        <v>185</v>
      </c>
      <c r="F10" s="10">
        <v>255</v>
      </c>
      <c r="G10" s="10">
        <v>305</v>
      </c>
      <c r="H10" s="10">
        <v>415</v>
      </c>
      <c r="I10" s="10">
        <v>480</v>
      </c>
      <c r="J10" s="10">
        <v>525</v>
      </c>
      <c r="M10" s="15">
        <v>10100</v>
      </c>
      <c r="N10" s="15" t="s">
        <v>172</v>
      </c>
    </row>
    <row r="11" ht="15" spans="1:14">
      <c r="A11" s="9" t="s">
        <v>173</v>
      </c>
      <c r="B11" s="10">
        <v>95</v>
      </c>
      <c r="C11" s="10">
        <v>-1</v>
      </c>
      <c r="D11" s="10">
        <v>-1</v>
      </c>
      <c r="E11" s="10">
        <v>90</v>
      </c>
      <c r="F11" s="10">
        <v>160</v>
      </c>
      <c r="G11" s="10">
        <v>210</v>
      </c>
      <c r="H11" s="10">
        <v>325</v>
      </c>
      <c r="I11" s="10">
        <v>390</v>
      </c>
      <c r="J11" s="10">
        <v>430</v>
      </c>
      <c r="M11" s="15">
        <v>10102</v>
      </c>
      <c r="N11" s="15" t="s">
        <v>173</v>
      </c>
    </row>
    <row r="12" ht="15" spans="1:14">
      <c r="A12" s="9" t="s">
        <v>174</v>
      </c>
      <c r="B12" s="10">
        <v>-1</v>
      </c>
      <c r="C12" s="10">
        <v>-1</v>
      </c>
      <c r="D12" s="10">
        <v>-1</v>
      </c>
      <c r="E12" s="10">
        <v>60</v>
      </c>
      <c r="F12" s="10">
        <v>130</v>
      </c>
      <c r="G12" s="10">
        <v>180</v>
      </c>
      <c r="H12" s="10">
        <v>295</v>
      </c>
      <c r="I12" s="10">
        <v>355</v>
      </c>
      <c r="J12" s="10">
        <v>400</v>
      </c>
      <c r="M12" s="15">
        <v>10104</v>
      </c>
      <c r="N12" s="15" t="s">
        <v>174</v>
      </c>
    </row>
    <row r="13" ht="15" spans="1:14">
      <c r="A13" s="9" t="s">
        <v>175</v>
      </c>
      <c r="B13" s="10">
        <v>185</v>
      </c>
      <c r="C13" s="10">
        <v>90</v>
      </c>
      <c r="D13" s="10">
        <v>60</v>
      </c>
      <c r="E13" s="10">
        <v>-1</v>
      </c>
      <c r="F13" s="10">
        <v>70</v>
      </c>
      <c r="G13" s="10">
        <v>120</v>
      </c>
      <c r="H13" s="10">
        <v>235</v>
      </c>
      <c r="I13" s="10">
        <v>300</v>
      </c>
      <c r="J13" s="10">
        <v>340</v>
      </c>
      <c r="M13" s="15">
        <v>10106</v>
      </c>
      <c r="N13" s="15" t="s">
        <v>175</v>
      </c>
    </row>
    <row r="14" ht="15" spans="1:14">
      <c r="A14" s="9" t="s">
        <v>176</v>
      </c>
      <c r="B14" s="10">
        <v>255</v>
      </c>
      <c r="C14" s="10">
        <v>160</v>
      </c>
      <c r="D14" s="10">
        <v>130</v>
      </c>
      <c r="E14" s="10">
        <v>70</v>
      </c>
      <c r="F14" s="10">
        <v>-1</v>
      </c>
      <c r="G14" s="10">
        <v>50</v>
      </c>
      <c r="H14" s="10">
        <v>165</v>
      </c>
      <c r="I14" s="10">
        <v>230</v>
      </c>
      <c r="J14" s="10">
        <v>270</v>
      </c>
      <c r="M14" s="15">
        <v>10108</v>
      </c>
      <c r="N14" s="15" t="s">
        <v>176</v>
      </c>
    </row>
    <row r="15" ht="15" spans="1:14">
      <c r="A15" s="9" t="s">
        <v>177</v>
      </c>
      <c r="B15" s="10">
        <v>305</v>
      </c>
      <c r="C15" s="10">
        <v>210</v>
      </c>
      <c r="D15" s="10">
        <v>180</v>
      </c>
      <c r="E15" s="10">
        <v>120</v>
      </c>
      <c r="F15" s="10">
        <v>50</v>
      </c>
      <c r="G15" s="10">
        <v>-1</v>
      </c>
      <c r="H15" s="10">
        <v>115</v>
      </c>
      <c r="I15" s="10">
        <v>180</v>
      </c>
      <c r="J15" s="10">
        <v>220</v>
      </c>
      <c r="M15" s="15">
        <v>10110</v>
      </c>
      <c r="N15" s="15" t="s">
        <v>177</v>
      </c>
    </row>
    <row r="16" ht="15" spans="1:14">
      <c r="A16" s="9" t="s">
        <v>178</v>
      </c>
      <c r="B16" s="10">
        <v>415</v>
      </c>
      <c r="C16" s="10">
        <v>325</v>
      </c>
      <c r="D16" s="10">
        <v>295</v>
      </c>
      <c r="E16" s="10">
        <v>235</v>
      </c>
      <c r="F16" s="10">
        <v>165</v>
      </c>
      <c r="G16" s="10">
        <v>115</v>
      </c>
      <c r="H16" s="10">
        <v>-1</v>
      </c>
      <c r="I16" s="10">
        <v>65</v>
      </c>
      <c r="J16" s="10">
        <v>105</v>
      </c>
      <c r="M16" s="15">
        <v>10112</v>
      </c>
      <c r="N16" s="15" t="s">
        <v>178</v>
      </c>
    </row>
    <row r="17" ht="15" spans="1:14">
      <c r="A17" s="9" t="s">
        <v>179</v>
      </c>
      <c r="B17" s="10">
        <v>480</v>
      </c>
      <c r="C17" s="10">
        <v>390</v>
      </c>
      <c r="D17" s="10">
        <v>355</v>
      </c>
      <c r="E17" s="10">
        <v>300</v>
      </c>
      <c r="F17" s="10">
        <v>230</v>
      </c>
      <c r="G17" s="10">
        <v>180</v>
      </c>
      <c r="H17" s="10">
        <v>65</v>
      </c>
      <c r="I17" s="10">
        <v>-1</v>
      </c>
      <c r="J17" s="10">
        <v>40</v>
      </c>
      <c r="M17" s="15">
        <v>10114</v>
      </c>
      <c r="N17" s="15" t="s">
        <v>179</v>
      </c>
    </row>
    <row r="18" ht="15" spans="1:14">
      <c r="A18" s="9" t="s">
        <v>180</v>
      </c>
      <c r="B18" s="10">
        <v>525</v>
      </c>
      <c r="C18" s="10">
        <v>430</v>
      </c>
      <c r="D18" s="10">
        <v>400</v>
      </c>
      <c r="E18" s="10">
        <v>340</v>
      </c>
      <c r="F18" s="10">
        <v>270</v>
      </c>
      <c r="G18" s="10">
        <v>220</v>
      </c>
      <c r="H18" s="10">
        <v>105</v>
      </c>
      <c r="I18" s="10">
        <v>40</v>
      </c>
      <c r="J18" s="10">
        <v>-1</v>
      </c>
      <c r="M18" s="19">
        <v>10116</v>
      </c>
      <c r="N18" s="19" t="s">
        <v>180</v>
      </c>
    </row>
    <row r="21" ht="23.25" spans="1:1">
      <c r="A21" s="8" t="s">
        <v>182</v>
      </c>
    </row>
    <row r="22" ht="15" spans="1:4">
      <c r="A22" s="11" t="s">
        <v>183</v>
      </c>
      <c r="B22" s="12" t="s">
        <v>184</v>
      </c>
      <c r="C22" s="12" t="s">
        <v>181</v>
      </c>
      <c r="D22" s="13" t="s">
        <v>185</v>
      </c>
    </row>
    <row r="23" ht="15" spans="1:4">
      <c r="A23" s="14">
        <v>10100</v>
      </c>
      <c r="B23" s="15">
        <v>10102</v>
      </c>
      <c r="C23" s="16" t="str">
        <f>VLOOKUP(A23,M:N,2,0)</f>
        <v>A</v>
      </c>
      <c r="D23" s="17">
        <f>VLOOKUP(C23,A:B,2,0)</f>
        <v>-1</v>
      </c>
    </row>
    <row r="24" ht="15" spans="1:4">
      <c r="A24" s="14">
        <v>10100</v>
      </c>
      <c r="B24" s="15">
        <v>10104</v>
      </c>
      <c r="C24" s="16" t="str">
        <f>VLOOKUP(A24,M:N,2,0)</f>
        <v>A</v>
      </c>
      <c r="D24" s="17">
        <f>VLOOKUP(C24,A:B,2,0)</f>
        <v>-1</v>
      </c>
    </row>
    <row r="25" ht="15" spans="1:4">
      <c r="A25" s="14">
        <v>10108</v>
      </c>
      <c r="B25" s="15">
        <v>10102</v>
      </c>
      <c r="C25" s="16" t="str">
        <f>VLOOKUP(A25,M:N,2,0)</f>
        <v>E</v>
      </c>
      <c r="D25" s="17">
        <f>VLOOKUP(C25,A:B,2,0)</f>
        <v>255</v>
      </c>
    </row>
    <row r="26" ht="15" spans="1:4">
      <c r="A26" s="14">
        <v>10100</v>
      </c>
      <c r="B26" s="15">
        <v>10106</v>
      </c>
      <c r="C26" s="16" t="str">
        <f>VLOOKUP(A26,M:N,2,0)</f>
        <v>A</v>
      </c>
      <c r="D26" s="17">
        <f>VLOOKUP(C26,A:B,2,0)</f>
        <v>-1</v>
      </c>
    </row>
    <row r="27" ht="15" spans="1:4">
      <c r="A27" s="14">
        <v>10108</v>
      </c>
      <c r="B27" s="15">
        <v>10110</v>
      </c>
      <c r="C27" s="16" t="str">
        <f>VLOOKUP(A27,M:N,2,0)</f>
        <v>E</v>
      </c>
      <c r="D27" s="17">
        <f>VLOOKUP(C27,A:B,2,0)</f>
        <v>255</v>
      </c>
    </row>
    <row r="28" ht="15" spans="1:4">
      <c r="A28" s="14">
        <v>10102</v>
      </c>
      <c r="B28" s="15">
        <v>10104</v>
      </c>
      <c r="C28" s="16" t="str">
        <f>VLOOKUP(A28,M:N,2,0)</f>
        <v>B</v>
      </c>
      <c r="D28" s="17">
        <f>VLOOKUP(C28,A:B,2,0)</f>
        <v>95</v>
      </c>
    </row>
    <row r="29" ht="15" spans="1:4">
      <c r="A29" s="14">
        <v>10106</v>
      </c>
      <c r="B29" s="15">
        <v>10108</v>
      </c>
      <c r="C29" s="16" t="str">
        <f>VLOOKUP(A29,M:N,2,0)</f>
        <v>D</v>
      </c>
      <c r="D29" s="17">
        <f>VLOOKUP(C29,A:B,2,0)</f>
        <v>185</v>
      </c>
    </row>
    <row r="30" ht="15" spans="1:4">
      <c r="A30" s="14">
        <v>10102</v>
      </c>
      <c r="B30" s="15">
        <v>10106</v>
      </c>
      <c r="C30" s="16" t="str">
        <f>VLOOKUP(A30,M:N,2,0)</f>
        <v>B</v>
      </c>
      <c r="D30" s="17">
        <f>VLOOKUP(C30,A:B,2,0)</f>
        <v>95</v>
      </c>
    </row>
    <row r="31" ht="15" spans="1:4">
      <c r="A31" s="14">
        <v>10110</v>
      </c>
      <c r="B31" s="15">
        <v>10114</v>
      </c>
      <c r="C31" s="16" t="str">
        <f>VLOOKUP(A31,M:N,2,0)</f>
        <v>F</v>
      </c>
      <c r="D31" s="17">
        <f>VLOOKUP(C31,A:B,2,0)</f>
        <v>305</v>
      </c>
    </row>
    <row r="32" ht="15" spans="1:4">
      <c r="A32" s="14">
        <v>10104</v>
      </c>
      <c r="B32" s="15">
        <v>10106</v>
      </c>
      <c r="C32" s="16" t="str">
        <f>VLOOKUP(A32,M:N,2,0)</f>
        <v>C</v>
      </c>
      <c r="D32" s="17">
        <f>VLOOKUP(C32,A:B,2,0)</f>
        <v>-1</v>
      </c>
    </row>
    <row r="33" ht="15" spans="1:4">
      <c r="A33" s="14">
        <v>10110</v>
      </c>
      <c r="B33" s="15">
        <v>10112</v>
      </c>
      <c r="C33" s="16" t="str">
        <f>VLOOKUP(A33,M:N,2,0)</f>
        <v>F</v>
      </c>
      <c r="D33" s="17">
        <f>VLOOKUP(C33,A:B,2,0)</f>
        <v>305</v>
      </c>
    </row>
    <row r="34" ht="15" spans="1:4">
      <c r="A34" s="14">
        <v>10100</v>
      </c>
      <c r="B34" s="15">
        <v>10114</v>
      </c>
      <c r="C34" s="16" t="str">
        <f>VLOOKUP(A34,M:N,2,0)</f>
        <v>A</v>
      </c>
      <c r="D34" s="17">
        <f>VLOOKUP(C34,A:B,2,0)</f>
        <v>-1</v>
      </c>
    </row>
    <row r="35" ht="15" spans="1:4">
      <c r="A35" s="18">
        <v>10112</v>
      </c>
      <c r="B35" s="19">
        <v>10116</v>
      </c>
      <c r="C35" s="20" t="str">
        <f>VLOOKUP(A35,M:N,2,0)</f>
        <v>G</v>
      </c>
      <c r="D35" s="21">
        <f>VLOOKUP(C35,A:B,2,0)</f>
        <v>415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gaurm</cp:lastModifiedBy>
  <dcterms:created xsi:type="dcterms:W3CDTF">2015-02-10T17:33:00Z</dcterms:created>
  <dcterms:modified xsi:type="dcterms:W3CDTF">2023-12-10T13:06:08Z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2CC2FD1C9D0040EBA0B5EB5A03325C51_12</vt:lpwstr>
  </property>
  <property fmtid="{D5CDD505-2E9C-101B-9397-08002B2CF9AE}" pid="3" name="KSOProductBuildVer">
    <vt:lpwstr>1033-12.2.0.13306</vt:lpwstr>
  </property>
</Properties>
</file>